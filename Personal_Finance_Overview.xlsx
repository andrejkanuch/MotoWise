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<sst xmlns="http://schemas.openxmlformats.org/spreadsheetml/2006/main" count="167" uniqueCount="97">
  <si>
    <t xml:space="preserve">PERSONAL FINANCE OVERVIEW</t>
  </si>
  <si>
    <t xml:space="preserve">March 2024 – March 2026  |  Monthly Snapshot Tracking</t>
  </si>
  <si>
    <t xml:space="preserve">Total Net Worth</t>
  </si>
  <si>
    <t xml:space="preserve">Total Cash</t>
  </si>
  <si>
    <t xml:space="preserve">Total Investments</t>
  </si>
  <si>
    <t xml:space="preserve">Crypto Holdings</t>
  </si>
  <si>
    <t xml:space="preserve">Emergency Fund</t>
  </si>
  <si>
    <t xml:space="preserve">All-Time Growth</t>
  </si>
  <si>
    <t xml:space="preserve">NET WORTH &amp; ALLOCATION HISTORY</t>
  </si>
  <si>
    <t xml:space="preserve">Date</t>
  </si>
  <si>
    <t xml:space="preserve">Binance</t>
  </si>
  <si>
    <t xml:space="preserve">DeBank</t>
  </si>
  <si>
    <t xml:space="preserve">TB Business</t>
  </si>
  <si>
    <t xml:space="preserve">TB Personal</t>
  </si>
  <si>
    <t xml:space="preserve">TB Savings</t>
  </si>
  <si>
    <t xml:space="preserve">Finax</t>
  </si>
  <si>
    <t xml:space="preserve">Portu</t>
  </si>
  <si>
    <t xml:space="preserve">Rev Normal</t>
  </si>
  <si>
    <t xml:space="preserve">Rev Business</t>
  </si>
  <si>
    <t xml:space="preserve">Rev Flexible</t>
  </si>
  <si>
    <t xml:space="preserve">Rev Invest</t>
  </si>
  <si>
    <t xml:space="preserve">Total Crypto</t>
  </si>
  <si>
    <t xml:space="preserve">Total Invest.</t>
  </si>
  <si>
    <t xml:space="preserve">Total Assets</t>
  </si>
  <si>
    <t xml:space="preserve">Net Worth</t>
  </si>
  <si>
    <t xml:space="preserve">Income</t>
  </si>
  <si>
    <t xml:space="preserve">NW Growth</t>
  </si>
  <si>
    <t xml:space="preserve">31.3.2024</t>
  </si>
  <si>
    <t xml:space="preserve">21.5.2024</t>
  </si>
  <si>
    <t xml:space="preserve">30.5.2024</t>
  </si>
  <si>
    <t xml:space="preserve">2.6.2024</t>
  </si>
  <si>
    <t xml:space="preserve">22.7.2024</t>
  </si>
  <si>
    <t xml:space="preserve">29.8.2024</t>
  </si>
  <si>
    <t xml:space="preserve">30.9.2024</t>
  </si>
  <si>
    <t xml:space="preserve">28.10.2024</t>
  </si>
  <si>
    <t xml:space="preserve">30.11.2024</t>
  </si>
  <si>
    <t xml:space="preserve">30.12.2024</t>
  </si>
  <si>
    <t xml:space="preserve">30.1.2025</t>
  </si>
  <si>
    <t xml:space="preserve">27.2.2025</t>
  </si>
  <si>
    <t xml:space="preserve">30.3.2025</t>
  </si>
  <si>
    <t xml:space="preserve">2.5.2025</t>
  </si>
  <si>
    <t xml:space="preserve">29.5.2025</t>
  </si>
  <si>
    <t xml:space="preserve">30.6.2025</t>
  </si>
  <si>
    <t xml:space="preserve">27.7.2025</t>
  </si>
  <si>
    <t xml:space="preserve">31.8.2025</t>
  </si>
  <si>
    <t xml:space="preserve">29.9.2025</t>
  </si>
  <si>
    <t xml:space="preserve">28.10.2025</t>
  </si>
  <si>
    <t xml:space="preserve">7.12.2025</t>
  </si>
  <si>
    <t xml:space="preserve">2.1.2026</t>
  </si>
  <si>
    <t xml:space="preserve">30.1.2026</t>
  </si>
  <si>
    <t xml:space="preserve">1.3.2026</t>
  </si>
  <si>
    <t xml:space="preserve">Category</t>
  </si>
  <si>
    <t xml:space="preserve">Value</t>
  </si>
  <si>
    <t xml:space="preserve">Cash</t>
  </si>
  <si>
    <t xml:space="preserve">Crypto</t>
  </si>
  <si>
    <t xml:space="preserve">Investments</t>
  </si>
  <si>
    <t xml:space="preserve">FINANCIAL ANALYSIS &amp; METRICS</t>
  </si>
  <si>
    <t xml:space="preserve">KEY METRICS SUMMARY</t>
  </si>
  <si>
    <t xml:space="preserve">ALLOCATION TREND</t>
  </si>
  <si>
    <t xml:space="preserve">Starting Net Worth (Mar 2024)</t>
  </si>
  <si>
    <t xml:space="preserve">Cash %</t>
  </si>
  <si>
    <t xml:space="preserve">Crypto %</t>
  </si>
  <si>
    <t xml:space="preserve">Investment %</t>
  </si>
  <si>
    <t xml:space="preserve">Current Net Worth (Mar 2026)</t>
  </si>
  <si>
    <t xml:space="preserve">Absolute Growth</t>
  </si>
  <si>
    <t xml:space="preserve">Percentage Growth</t>
  </si>
  <si>
    <t xml:space="preserve">Average Monthly Income</t>
  </si>
  <si>
    <t xml:space="preserve">Highest Income Month</t>
  </si>
  <si>
    <t xml:space="preserve">Highest Income Amount</t>
  </si>
  <si>
    <t xml:space="preserve">Lowest Income Month</t>
  </si>
  <si>
    <t xml:space="preserve">Lowest Income Amount</t>
  </si>
  <si>
    <t xml:space="preserve">Peak Net Worth</t>
  </si>
  <si>
    <t xml:space="preserve">Lowest Net Worth</t>
  </si>
  <si>
    <t xml:space="preserve">Current Cash %</t>
  </si>
  <si>
    <t xml:space="preserve">Current Crypto %</t>
  </si>
  <si>
    <t xml:space="preserve">Current Investment %</t>
  </si>
  <si>
    <t xml:space="preserve">Emergency Fund Progress</t>
  </si>
  <si>
    <t xml:space="preserve">Account</t>
  </si>
  <si>
    <t xml:space="preserve">Balance</t>
  </si>
  <si>
    <t xml:space="preserve">TatraBanka zivnost (Cash)</t>
  </si>
  <si>
    <t xml:space="preserve">TatraBanka normal (Cash)</t>
  </si>
  <si>
    <t xml:space="preserve">TatraBanka uspory (Cash)</t>
  </si>
  <si>
    <t xml:space="preserve">Finax (Investment)</t>
  </si>
  <si>
    <t xml:space="preserve">Portu (Investment)</t>
  </si>
  <si>
    <t xml:space="preserve">Revolut normal (Cash)</t>
  </si>
  <si>
    <t xml:space="preserve">Revolut zivnost (Cash)</t>
  </si>
  <si>
    <t xml:space="preserve">Revolut Flexible (Cash)</t>
  </si>
  <si>
    <t xml:space="preserve">Revolut invest (Investment)</t>
  </si>
  <si>
    <t xml:space="preserve">Total Crypto Investments</t>
  </si>
  <si>
    <t xml:space="preserve">Total Normal Investments</t>
  </si>
  <si>
    <t xml:space="preserve">Crypto % of Total Assets</t>
  </si>
  <si>
    <t xml:space="preserve">Normal Investments % of Total Assets</t>
  </si>
  <si>
    <t xml:space="preserve">Cash % of Total Assets</t>
  </si>
  <si>
    <t xml:space="preserve">Total Investments % of Total Assets</t>
  </si>
  <si>
    <t xml:space="preserve">Total Net Worth Growth</t>
  </si>
  <si>
    <t xml:space="preserve">Total Net Worth Growth Without crypto</t>
  </si>
  <si>
    <t xml:space="preserve">Emergency Fund Progress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</si>
</sst>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EUR&quot;"/>
    <numFmt numFmtId="166" formatCode="0.0%"/>
    <numFmt numFmtId="167" formatCode="\+0.0%;\-0.0%"/>
    <numFmt numFmtId="168" formatCode="#,##0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B9CC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62828"/>
      <name val="Arial"/>
      <family val="0"/>
      <charset val="1"/>
    </font>
    <font>
      <sz val="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2F7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FFF9E6"/>
      </patternFill>
    </fill>
    <fill>
      <patternFill patternType="solid">
        <fgColor rgb="FF2E5090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9E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D9D9D9"/>
      <rgbColor rgb="FF878787"/>
      <rgbColor rgb="FF9999FF"/>
      <rgbColor rgb="FFBE4B48"/>
      <rgbColor rgb="FFFFF9E6"/>
      <rgbColor rgb="FFF2F7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9F9F9"/>
      <rgbColor rgb="FF9BBB59"/>
      <rgbColor rgb="FFFF99CC"/>
      <rgbColor rgb="FFCC99FF"/>
      <rgbColor rgb="FFFCE4EC"/>
      <rgbColor rgb="FF4A7EBB"/>
      <rgbColor rgb="FF33CCCC"/>
      <rgbColor rgb="FF98B855"/>
      <rgbColor rgb="FFFFCC00"/>
      <rgbColor rgb="FFFF9900"/>
      <rgbColor rgb="FFFF6600"/>
      <rgbColor rgb="FF7D5FA0"/>
      <rgbColor rgb="FF7B9CC2"/>
      <rgbColor rgb="FF1B2A4A"/>
      <rgbColor rgb="FF2E7D32"/>
      <rgbColor rgb="FF003300"/>
      <rgbColor rgb="FF333300"/>
      <rgbColor rgb="FFC62828"/>
      <rgbColor rgb="FFC0504D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Net Worth Over Time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Dashboard!Q10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Dashboard!$Q$11:$Q$34</c:f>
              <c:numCache>
                <c:formatCode>#,##0</c:formatCode>
                <c:ptCount val="24"/>
                <c:pt idx="0">
                  <c:v>13998.16</c:v>
                </c:pt>
                <c:pt idx="1">
                  <c:v>15967.14</c:v>
                </c:pt>
                <c:pt idx="2">
                  <c:v>13922.39</c:v>
                </c:pt>
                <c:pt idx="3">
                  <c:v>12188.06</c:v>
                </c:pt>
                <c:pt idx="4">
                  <c:v>13732.52</c:v>
                </c:pt>
                <c:pt idx="5">
                  <c:v>12844.33</c:v>
                </c:pt>
                <c:pt idx="6">
                  <c:v>13469.49</c:v>
                </c:pt>
                <c:pt idx="7">
                  <c:v>14294.8</c:v>
                </c:pt>
                <c:pt idx="8">
                  <c:v>19355.78</c:v>
                </c:pt>
                <c:pt idx="9">
                  <c:v>18315.25</c:v>
                </c:pt>
                <c:pt idx="10">
                  <c:v>19030.43</c:v>
                </c:pt>
                <c:pt idx="11">
                  <c:v>17458.68</c:v>
                </c:pt>
                <c:pt idx="12">
                  <c:v>16767.11</c:v>
                </c:pt>
                <c:pt idx="13">
                  <c:v>17628.23</c:v>
                </c:pt>
                <c:pt idx="14">
                  <c:v>18261.35</c:v>
                </c:pt>
                <c:pt idx="15">
                  <c:v>19746.77</c:v>
                </c:pt>
                <c:pt idx="16">
                  <c:v>22734.36</c:v>
                </c:pt>
                <c:pt idx="17">
                  <c:v>24044.12</c:v>
                </c:pt>
                <c:pt idx="18">
                  <c:v>24593.28</c:v>
                </c:pt>
                <c:pt idx="19">
                  <c:v>26321.79</c:v>
                </c:pt>
                <c:pt idx="20">
                  <c:v>23756.09</c:v>
                </c:pt>
                <c:pt idx="21">
                  <c:v>26443.95</c:v>
                </c:pt>
                <c:pt idx="22">
                  <c:v>27101.48</c:v>
                </c:pt>
                <c:pt idx="23">
                  <c:v>30719.34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Dashboard!M10</c:f>
              <c:strCache>
                <c:ptCount val="1"/>
                <c:pt idx="0">
                  <c:v>Total Cash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Dashboard!$M$11:$M$34</c:f>
              <c:numCache>
                <c:formatCode>#,##0</c:formatCode>
                <c:ptCount val="24"/>
                <c:pt idx="0">
                  <c:v>2360.81</c:v>
                </c:pt>
                <c:pt idx="1">
                  <c:v>3086.05</c:v>
                </c:pt>
                <c:pt idx="2">
                  <c:v>1637.77</c:v>
                </c:pt>
                <c:pt idx="3">
                  <c:v>1584.52</c:v>
                </c:pt>
                <c:pt idx="4">
                  <c:v>2514.42</c:v>
                </c:pt>
                <c:pt idx="5">
                  <c:v>2648.96</c:v>
                </c:pt>
                <c:pt idx="6">
                  <c:v>2574.97</c:v>
                </c:pt>
                <c:pt idx="7">
                  <c:v>3319.29</c:v>
                </c:pt>
                <c:pt idx="8">
                  <c:v>3724.11</c:v>
                </c:pt>
                <c:pt idx="9">
                  <c:v>4339.46</c:v>
                </c:pt>
                <c:pt idx="10">
                  <c:v>4872.97</c:v>
                </c:pt>
                <c:pt idx="11">
                  <c:v>4925.34</c:v>
                </c:pt>
                <c:pt idx="12">
                  <c:v>4650.42</c:v>
                </c:pt>
                <c:pt idx="13">
                  <c:v>4998.86</c:v>
                </c:pt>
                <c:pt idx="14">
                  <c:v>4311.21</c:v>
                </c:pt>
                <c:pt idx="15">
                  <c:v>5796.98</c:v>
                </c:pt>
                <c:pt idx="16">
                  <c:v>6782.7</c:v>
                </c:pt>
                <c:pt idx="17">
                  <c:v>7423.61</c:v>
                </c:pt>
                <c:pt idx="18">
                  <c:v>6969.2</c:v>
                </c:pt>
                <c:pt idx="19">
                  <c:v>8147.04</c:v>
                </c:pt>
                <c:pt idx="20">
                  <c:v>6778.14</c:v>
                </c:pt>
                <c:pt idx="21">
                  <c:v>9324.91</c:v>
                </c:pt>
                <c:pt idx="22">
                  <c:v>9719.17</c:v>
                </c:pt>
                <c:pt idx="23">
                  <c:v>13607.23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Dashboard!N10</c:f>
              <c:strCache>
                <c:ptCount val="1"/>
                <c:pt idx="0">
                  <c:v>Total Crypto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Dashboard!$N$11:$N$34</c:f>
              <c:numCache>
                <c:formatCode>#,##0</c:formatCode>
                <c:ptCount val="24"/>
                <c:pt idx="0">
                  <c:v>6721.73</c:v>
                </c:pt>
                <c:pt idx="1">
                  <c:v>7811.27</c:v>
                </c:pt>
                <c:pt idx="2">
                  <c:v>7277.39</c:v>
                </c:pt>
                <c:pt idx="3">
                  <c:v>5506.32</c:v>
                </c:pt>
                <c:pt idx="4">
                  <c:v>6065.84</c:v>
                </c:pt>
                <c:pt idx="5">
                  <c:v>5077.98</c:v>
                </c:pt>
                <c:pt idx="6">
                  <c:v>5572.31</c:v>
                </c:pt>
                <c:pt idx="7">
                  <c:v>5385.99</c:v>
                </c:pt>
                <c:pt idx="8">
                  <c:v>9297.53</c:v>
                </c:pt>
                <c:pt idx="9">
                  <c:v>7295.66</c:v>
                </c:pt>
                <c:pt idx="10">
                  <c:v>6993.13</c:v>
                </c:pt>
                <c:pt idx="11">
                  <c:v>5078.19</c:v>
                </c:pt>
                <c:pt idx="12">
                  <c:v>4661.14</c:v>
                </c:pt>
                <c:pt idx="13">
                  <c:v>4880.94</c:v>
                </c:pt>
                <c:pt idx="14">
                  <c:v>5448.78</c:v>
                </c:pt>
                <c:pt idx="15">
                  <c:v>5136.51</c:v>
                </c:pt>
                <c:pt idx="16">
                  <c:v>6632.23</c:v>
                </c:pt>
                <c:pt idx="17">
                  <c:v>6795.48</c:v>
                </c:pt>
                <c:pt idx="18">
                  <c:v>7200.93</c:v>
                </c:pt>
                <c:pt idx="19">
                  <c:v>6913.94</c:v>
                </c:pt>
                <c:pt idx="20">
                  <c:v>5403.88</c:v>
                </c:pt>
                <c:pt idx="21">
                  <c:v>5084.44</c:v>
                </c:pt>
                <c:pt idx="22">
                  <c:v>4737.44</c:v>
                </c:pt>
                <c:pt idx="23">
                  <c:v>3764.52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Dashboard!O10</c:f>
              <c:strCache>
                <c:ptCount val="1"/>
                <c:pt idx="0">
                  <c:v>Total Invest.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Dashboard!$O$11:$O$34</c:f>
              <c:numCache>
                <c:formatCode>#,##0</c:formatCode>
                <c:ptCount val="24"/>
                <c:pt idx="0">
                  <c:v>4915.62</c:v>
                </c:pt>
                <c:pt idx="1">
                  <c:v>5069.82</c:v>
                </c:pt>
                <c:pt idx="2">
                  <c:v>5007.23</c:v>
                </c:pt>
                <c:pt idx="3">
                  <c:v>5097.22</c:v>
                </c:pt>
                <c:pt idx="4">
                  <c:v>5152.26</c:v>
                </c:pt>
                <c:pt idx="5">
                  <c:v>5117.39</c:v>
                </c:pt>
                <c:pt idx="6">
                  <c:v>5322.21</c:v>
                </c:pt>
                <c:pt idx="7">
                  <c:v>5589.52</c:v>
                </c:pt>
                <c:pt idx="8">
                  <c:v>6334.14</c:v>
                </c:pt>
                <c:pt idx="9">
                  <c:v>6680.13</c:v>
                </c:pt>
                <c:pt idx="10">
                  <c:v>7164.33</c:v>
                </c:pt>
                <c:pt idx="11">
                  <c:v>7455.15</c:v>
                </c:pt>
                <c:pt idx="12">
                  <c:v>7455.55</c:v>
                </c:pt>
                <c:pt idx="13">
                  <c:v>7748.43</c:v>
                </c:pt>
                <c:pt idx="14">
                  <c:v>8501.36</c:v>
                </c:pt>
                <c:pt idx="15">
                  <c:v>8813.28</c:v>
                </c:pt>
                <c:pt idx="16">
                  <c:v>9319.43</c:v>
                </c:pt>
                <c:pt idx="17">
                  <c:v>9825.03</c:v>
                </c:pt>
                <c:pt idx="18">
                  <c:v>10423.15</c:v>
                </c:pt>
                <c:pt idx="19">
                  <c:v>11260.81</c:v>
                </c:pt>
                <c:pt idx="20">
                  <c:v>11574.07</c:v>
                </c:pt>
                <c:pt idx="21">
                  <c:v>12034.6</c:v>
                </c:pt>
                <c:pt idx="22">
                  <c:v>12644.87</c:v>
                </c:pt>
                <c:pt idx="23">
                  <c:v>13347.59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85921"/>
        <c:axId val="26629500"/>
      </c:lineChart>
      <c:catAx>
        <c:axId val="92885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29500"/>
        <c:crosses val="autoZero"/>
        <c:auto val="1"/>
        <c:lblAlgn val="ctr"/>
        <c:lblOffset val="100"/>
        <c:noMultiLvlLbl val="0"/>
      </c:catAx>
      <c:valAx>
        <c:axId val="26629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859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Current Asset Allocation (1.3.2026)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Dashboard!B57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Dashboard!$A$58:$A$60</c:f>
              <c:strCache>
                <c:ptCount val="3"/>
                <c:pt idx="0">
                  <c:v>Cash</c:v>
                </c:pt>
                <c:pt idx="1">
                  <c:v>Crypto</c:v>
                </c:pt>
                <c:pt idx="2">
                  <c:v>Investments</c:v>
                </c:pt>
              </c:strCache>
            </c:strRef>
          </c:cat>
          <c:val>
            <c:numRef>
              <c:f>Dashboard!$B$58:$B$60</c:f>
              <c:numCache>
                <c:formatCode>General</c:formatCode>
                <c:ptCount val="3"/>
                <c:pt idx="0">
                  <c:v>13607.23</c:v>
                </c:pt>
                <c:pt idx="1">
                  <c:v>3764.52</c:v>
                </c:pt>
                <c:pt idx="2">
                  <c:v>13347.59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Income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Dashboard!R10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Dashboard!$R$11:$R$34</c:f>
              <c:numCache>
                <c:formatCode>#,##0</c:formatCode>
                <c:ptCount val="24"/>
                <c:pt idx="0">
                  <c:v>2004.6</c:v>
                </c:pt>
                <c:pt idx="1">
                  <c:v>2943.35</c:v>
                </c:pt>
                <c:pt idx="2">
                  <c:v>3110.83</c:v>
                </c:pt>
                <c:pt idx="3">
                  <c:v>3128</c:v>
                </c:pt>
                <c:pt idx="4">
                  <c:v>2869.26</c:v>
                </c:pt>
                <c:pt idx="5">
                  <c:v>3183.81</c:v>
                </c:pt>
                <c:pt idx="6">
                  <c:v>3265.7</c:v>
                </c:pt>
                <c:pt idx="7">
                  <c:v>3171.01</c:v>
                </c:pt>
                <c:pt idx="8">
                  <c:v>3557.88</c:v>
                </c:pt>
                <c:pt idx="9">
                  <c:v>3152.36</c:v>
                </c:pt>
                <c:pt idx="10">
                  <c:v>3210.78</c:v>
                </c:pt>
                <c:pt idx="11">
                  <c:v>3371.85</c:v>
                </c:pt>
                <c:pt idx="12">
                  <c:v>3123.17</c:v>
                </c:pt>
                <c:pt idx="13">
                  <c:v>3628.68</c:v>
                </c:pt>
                <c:pt idx="14">
                  <c:v>3714.6</c:v>
                </c:pt>
                <c:pt idx="15">
                  <c:v>3891.52</c:v>
                </c:pt>
                <c:pt idx="16">
                  <c:v>3918.17</c:v>
                </c:pt>
                <c:pt idx="17">
                  <c:v>3967.98</c:v>
                </c:pt>
                <c:pt idx="18">
                  <c:v>3492.38</c:v>
                </c:pt>
                <c:pt idx="19">
                  <c:v>3703.53</c:v>
                </c:pt>
                <c:pt idx="20">
                  <c:v>3703.53</c:v>
                </c:pt>
                <c:pt idx="21">
                  <c:v>3508.78</c:v>
                </c:pt>
                <c:pt idx="22">
                  <c:v>4247.81</c:v>
                </c:pt>
                <c:pt idx="23">
                  <c:v>4014.95</c:v>
                </c:pt>
              </c:numCache>
            </c:numRef>
          </c:val>
        </c:ser>
        <c:gapWidth val="150"/>
        <c:overlap val="0"/>
        <c:axId val="81606424"/>
        <c:axId val="84460857"/>
      </c:barChart>
      <c:catAx>
        <c:axId val="8160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460857"/>
        <c:crosses val="autoZero"/>
        <c:auto val="1"/>
        <c:lblAlgn val="ctr"/>
        <c:lblOffset val="100"/>
        <c:noMultiLvlLbl val="0"/>
      </c:catAx>
      <c:valAx>
        <c:axId val="84460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064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Net Worth Change (EUR, Period over Period)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Dashboard!S10</c:f>
              <c:strCache>
                <c:ptCount val="1"/>
                <c:pt idx="0">
                  <c:v>NW Growth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Dashboard!$A$11:$A$34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Dashboard!$S$11:$S$34</c:f>
              <c:numCache>
                <c:formatCode>#,##0</c:formatCode>
                <c:ptCount val="24"/>
                <c:pt idx="0">
                  <c:v>0</c:v>
                </c:pt>
                <c:pt idx="1">
                  <c:v>1968.98</c:v>
                </c:pt>
                <c:pt idx="2">
                  <c:v>-2044.75</c:v>
                </c:pt>
                <c:pt idx="3">
                  <c:v>-1734.33</c:v>
                </c:pt>
                <c:pt idx="4">
                  <c:v>1544.46</c:v>
                </c:pt>
                <c:pt idx="5">
                  <c:v>-888.19</c:v>
                </c:pt>
                <c:pt idx="6">
                  <c:v>625.16</c:v>
                </c:pt>
                <c:pt idx="7">
                  <c:v>825.31</c:v>
                </c:pt>
                <c:pt idx="8">
                  <c:v>5060.98</c:v>
                </c:pt>
                <c:pt idx="9">
                  <c:v>-1040.53</c:v>
                </c:pt>
                <c:pt idx="10">
                  <c:v>715.18</c:v>
                </c:pt>
                <c:pt idx="11">
                  <c:v>-1571.75</c:v>
                </c:pt>
                <c:pt idx="12">
                  <c:v>-691.57</c:v>
                </c:pt>
                <c:pt idx="13">
                  <c:v>861.12</c:v>
                </c:pt>
                <c:pt idx="14">
                  <c:v>633.12</c:v>
                </c:pt>
                <c:pt idx="15">
                  <c:v>1485.42</c:v>
                </c:pt>
                <c:pt idx="16">
                  <c:v>2987.59</c:v>
                </c:pt>
                <c:pt idx="17">
                  <c:v>1309.76</c:v>
                </c:pt>
                <c:pt idx="18">
                  <c:v>549.16</c:v>
                </c:pt>
                <c:pt idx="19">
                  <c:v>1728.51</c:v>
                </c:pt>
                <c:pt idx="20">
                  <c:v>-2565.7</c:v>
                </c:pt>
                <c:pt idx="21">
                  <c:v>2687.86</c:v>
                </c:pt>
                <c:pt idx="22">
                  <c:v>657.53</c:v>
                </c:pt>
                <c:pt idx="23">
                  <c:v>3617.86</c:v>
                </c:pt>
              </c:numCache>
            </c:numRef>
          </c:val>
        </c:ser>
        <c:gapWidth val="150"/>
        <c:overlap val="0"/>
        <c:axId val="36357360"/>
        <c:axId val="2855629"/>
      </c:barChart>
      <c:catAx>
        <c:axId val="3635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55629"/>
        <c:crosses val="autoZero"/>
        <c:auto val="1"/>
        <c:lblAlgn val="ctr"/>
        <c:lblOffset val="100"/>
        <c:noMultiLvlLbl val="0"/>
      </c:catAx>
      <c:valAx>
        <c:axId val="2855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573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Asset Allocation Over Time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Analysis!G4</c:f>
              <c:strCache>
                <c:ptCount val="1"/>
                <c:pt idx="0">
                  <c:v>Cash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Analysis!$F$5:$F$28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Analysis!$G$5:$G$28</c:f>
              <c:numCache>
                <c:formatCode>0.0%</c:formatCode>
                <c:ptCount val="24"/>
                <c:pt idx="0">
                  <c:v>0.1686514513</c:v>
                </c:pt>
                <c:pt idx="1">
                  <c:v>0.1932750637</c:v>
                </c:pt>
                <c:pt idx="2">
                  <c:v>0.1176356933</c:v>
                </c:pt>
                <c:pt idx="3">
                  <c:v>0.1300059238</c:v>
                </c:pt>
                <c:pt idx="4">
                  <c:v>0.1830996787</c:v>
                </c:pt>
                <c:pt idx="5">
                  <c:v>0.2062357476</c:v>
                </c:pt>
                <c:pt idx="6">
                  <c:v>0.191170564</c:v>
                </c:pt>
                <c:pt idx="7">
                  <c:v>0.2322026191</c:v>
                </c:pt>
                <c:pt idx="8">
                  <c:v>0.1924029928</c:v>
                </c:pt>
                <c:pt idx="9">
                  <c:v>0.2369315188</c:v>
                </c:pt>
                <c:pt idx="10">
                  <c:v>0.2560620018</c:v>
                </c:pt>
                <c:pt idx="11">
                  <c:v>0.2821141117</c:v>
                </c:pt>
                <c:pt idx="12">
                  <c:v>0.2773537002</c:v>
                </c:pt>
                <c:pt idx="13">
                  <c:v>0.2835712945</c:v>
                </c:pt>
                <c:pt idx="14">
                  <c:v>0.2360838602</c:v>
                </c:pt>
                <c:pt idx="15">
                  <c:v>0.2935659857</c:v>
                </c:pt>
                <c:pt idx="16">
                  <c:v>0.2983457639</c:v>
                </c:pt>
                <c:pt idx="17">
                  <c:v>0.3087494988</c:v>
                </c:pt>
                <c:pt idx="18">
                  <c:v>0.2833782236</c:v>
                </c:pt>
                <c:pt idx="19">
                  <c:v>0.3095169439</c:v>
                </c:pt>
                <c:pt idx="20">
                  <c:v>0.2853222058</c:v>
                </c:pt>
                <c:pt idx="21">
                  <c:v>0.3526292403</c:v>
                </c:pt>
                <c:pt idx="22">
                  <c:v>0.3586213742</c:v>
                </c:pt>
                <c:pt idx="23">
                  <c:v>0.4429532015</c:v>
                </c:pt>
              </c:numCache>
            </c:numRef>
          </c:val>
        </c:ser>
        <c:ser>
          <c:idx val="1"/>
          <c:order val="1"/>
          <c:tx>
            <c:strRef>
              <c:f>Analysis!H4</c:f>
              <c:strCache>
                <c:ptCount val="1"/>
                <c:pt idx="0">
                  <c:v>Crypto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Analysis!$F$5:$F$28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Analysis!$H$5:$H$28</c:f>
              <c:numCache>
                <c:formatCode>0.0%</c:formatCode>
                <c:ptCount val="24"/>
                <c:pt idx="0">
                  <c:v>0.4801866817</c:v>
                </c:pt>
                <c:pt idx="1">
                  <c:v>0.4892090882</c:v>
                </c:pt>
                <c:pt idx="2">
                  <c:v>0.5227112586</c:v>
                </c:pt>
                <c:pt idx="3">
                  <c:v>0.4517798567</c:v>
                </c:pt>
                <c:pt idx="4">
                  <c:v>0.4417135384</c:v>
                </c:pt>
                <c:pt idx="5">
                  <c:v>0.3953479862</c:v>
                </c:pt>
                <c:pt idx="6">
                  <c:v>0.4136986627</c:v>
                </c:pt>
                <c:pt idx="7">
                  <c:v>0.3767796681</c:v>
                </c:pt>
                <c:pt idx="8">
                  <c:v>0.4803490224</c:v>
                </c:pt>
                <c:pt idx="9">
                  <c:v>0.398337997</c:v>
                </c:pt>
                <c:pt idx="10">
                  <c:v>0.36747094</c:v>
                </c:pt>
                <c:pt idx="11">
                  <c:v>0.2908690691</c:v>
                </c:pt>
                <c:pt idx="12">
                  <c:v>0.2779930471</c:v>
                </c:pt>
                <c:pt idx="13">
                  <c:v>0.2768820239</c:v>
                </c:pt>
                <c:pt idx="14">
                  <c:v>0.2983777213</c:v>
                </c:pt>
                <c:pt idx="15">
                  <c:v>0.2601189967</c:v>
                </c:pt>
                <c:pt idx="16">
                  <c:v>0.2917271478</c:v>
                </c:pt>
                <c:pt idx="17">
                  <c:v>0.2826254402</c:v>
                </c:pt>
                <c:pt idx="18">
                  <c:v>0.2928007163</c:v>
                </c:pt>
                <c:pt idx="19">
                  <c:v>0.262669826</c:v>
                </c:pt>
                <c:pt idx="20">
                  <c:v>0.2274734605</c:v>
                </c:pt>
                <c:pt idx="21">
                  <c:v>0.1922723345</c:v>
                </c:pt>
                <c:pt idx="22">
                  <c:v>0.1748037377</c:v>
                </c:pt>
                <c:pt idx="23">
                  <c:v>0.1225456016</c:v>
                </c:pt>
              </c:numCache>
            </c:numRef>
          </c:val>
        </c:ser>
        <c:ser>
          <c:idx val="2"/>
          <c:order val="2"/>
          <c:tx>
            <c:strRef>
              <c:f>Analysis!I4</c:f>
              <c:strCache>
                <c:ptCount val="1"/>
                <c:pt idx="0">
                  <c:v>Investment 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Analysis!$F$5:$F$28</c:f>
              <c:strCache>
                <c:ptCount val="24"/>
                <c:pt idx="0">
                  <c:v>31.3.2024</c:v>
                </c:pt>
                <c:pt idx="1">
                  <c:v>21.5.2024</c:v>
                </c:pt>
                <c:pt idx="2">
                  <c:v>30.5.2024</c:v>
                </c:pt>
                <c:pt idx="3">
                  <c:v>2.6.2024</c:v>
                </c:pt>
                <c:pt idx="4">
                  <c:v>22.7.2024</c:v>
                </c:pt>
                <c:pt idx="5">
                  <c:v>29.8.2024</c:v>
                </c:pt>
                <c:pt idx="6">
                  <c:v>30.9.2024</c:v>
                </c:pt>
                <c:pt idx="7">
                  <c:v>28.10.2024</c:v>
                </c:pt>
                <c:pt idx="8">
                  <c:v>30.11.2024</c:v>
                </c:pt>
                <c:pt idx="9">
                  <c:v>30.12.2024</c:v>
                </c:pt>
                <c:pt idx="10">
                  <c:v>30.1.2025</c:v>
                </c:pt>
                <c:pt idx="11">
                  <c:v>27.2.2025</c:v>
                </c:pt>
                <c:pt idx="12">
                  <c:v>30.3.2025</c:v>
                </c:pt>
                <c:pt idx="13">
                  <c:v>2.5.2025</c:v>
                </c:pt>
                <c:pt idx="14">
                  <c:v>29.5.2025</c:v>
                </c:pt>
                <c:pt idx="15">
                  <c:v>30.6.2025</c:v>
                </c:pt>
                <c:pt idx="16">
                  <c:v>27.7.2025</c:v>
                </c:pt>
                <c:pt idx="17">
                  <c:v>31.8.2025</c:v>
                </c:pt>
                <c:pt idx="18">
                  <c:v>29.9.2025</c:v>
                </c:pt>
                <c:pt idx="19">
                  <c:v>28.10.2025</c:v>
                </c:pt>
                <c:pt idx="20">
                  <c:v>7.12.2025</c:v>
                </c:pt>
                <c:pt idx="21">
                  <c:v>2.1.2026</c:v>
                </c:pt>
                <c:pt idx="22">
                  <c:v>30.1.2026</c:v>
                </c:pt>
                <c:pt idx="23">
                  <c:v>1.3.2026</c:v>
                </c:pt>
              </c:strCache>
            </c:strRef>
          </c:cat>
          <c:val>
            <c:numRef>
              <c:f>Analysis!$I$5:$I$28</c:f>
              <c:numCache>
                <c:formatCode>0.0%</c:formatCode>
                <c:ptCount val="24"/>
                <c:pt idx="0">
                  <c:v>0.351161867</c:v>
                </c:pt>
                <c:pt idx="1">
                  <c:v>0.3175158482</c:v>
                </c:pt>
                <c:pt idx="2">
                  <c:v>0.3596530481</c:v>
                </c:pt>
                <c:pt idx="3">
                  <c:v>0.4182142195</c:v>
                </c:pt>
                <c:pt idx="4">
                  <c:v>0.3751867829</c:v>
                </c:pt>
                <c:pt idx="5">
                  <c:v>0.3984162662</c:v>
                </c:pt>
                <c:pt idx="6">
                  <c:v>0.3951307733</c:v>
                </c:pt>
                <c:pt idx="7">
                  <c:v>0.3910177127</c:v>
                </c:pt>
                <c:pt idx="8">
                  <c:v>0.3272479848</c:v>
                </c:pt>
                <c:pt idx="9">
                  <c:v>0.3647304842</c:v>
                </c:pt>
                <c:pt idx="10">
                  <c:v>0.3764670583</c:v>
                </c:pt>
                <c:pt idx="11">
                  <c:v>0.4270168191</c:v>
                </c:pt>
                <c:pt idx="12">
                  <c:v>0.4446532527</c:v>
                </c:pt>
                <c:pt idx="13">
                  <c:v>0.4395466817</c:v>
                </c:pt>
                <c:pt idx="14">
                  <c:v>0.4655384186</c:v>
                </c:pt>
                <c:pt idx="15">
                  <c:v>0.4463150176</c:v>
                </c:pt>
                <c:pt idx="16">
                  <c:v>0.4099270883</c:v>
                </c:pt>
                <c:pt idx="17">
                  <c:v>0.4086250609</c:v>
                </c:pt>
                <c:pt idx="18">
                  <c:v>0.4238210601</c:v>
                </c:pt>
                <c:pt idx="19">
                  <c:v>0.42781323</c:v>
                </c:pt>
                <c:pt idx="20">
                  <c:v>0.4872043337</c:v>
                </c:pt>
                <c:pt idx="21">
                  <c:v>0.4550984252</c:v>
                </c:pt>
                <c:pt idx="22">
                  <c:v>0.4665748882</c:v>
                </c:pt>
                <c:pt idx="23">
                  <c:v>0.434501197</c:v>
                </c:pt>
              </c:numCache>
            </c:numRef>
          </c:val>
        </c:ser>
        <c:axId val="87968380"/>
        <c:axId val="71170121"/>
      </c:areaChart>
      <c:catAx>
        <c:axId val="87968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70121"/>
        <c:crosses val="autoZero"/>
        <c:auto val="1"/>
        <c:lblAlgn val="ctr"/>
        <c:lblOffset val="100"/>
        <c:noMultiLvlLbl val="0"/>
      </c:catAx>
      <c:valAx>
        <c:axId val="7117012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6838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Current Account Balances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Analysis!B50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Analysis!$A$51:$A$61</c:f>
              <c:strCache>
                <c:ptCount val="11"/>
                <c:pt idx="0">
                  <c:v>Binance</c:v>
                </c:pt>
                <c:pt idx="1">
                  <c:v>DeBank</c:v>
                </c:pt>
                <c:pt idx="2">
                  <c:v>TB Business</c:v>
                </c:pt>
                <c:pt idx="3">
                  <c:v>TB Personal</c:v>
                </c:pt>
                <c:pt idx="4">
                  <c:v>TB Savings</c:v>
                </c:pt>
                <c:pt idx="5">
                  <c:v>Finax</c:v>
                </c:pt>
                <c:pt idx="6">
                  <c:v>Portu</c:v>
                </c:pt>
                <c:pt idx="7">
                  <c:v>Rev Normal</c:v>
                </c:pt>
                <c:pt idx="8">
                  <c:v>Rev Business</c:v>
                </c:pt>
                <c:pt idx="9">
                  <c:v>Rev Flexible</c:v>
                </c:pt>
                <c:pt idx="10">
                  <c:v>Rev Invest</c:v>
                </c:pt>
              </c:strCache>
            </c:strRef>
          </c:cat>
          <c:val>
            <c:numRef>
              <c:f>Analysis!$B$51:$B$61</c:f>
              <c:numCache>
                <c:formatCode>General</c:formatCode>
                <c:ptCount val="11"/>
                <c:pt idx="0">
                  <c:v>2415.52</c:v>
                </c:pt>
                <c:pt idx="1">
                  <c:v>1349</c:v>
                </c:pt>
                <c:pt idx="2">
                  <c:v>2000</c:v>
                </c:pt>
                <c:pt idx="3">
                  <c:v>6952.86</c:v>
                </c:pt>
                <c:pt idx="4">
                  <c:v>1017.83</c:v>
                </c:pt>
                <c:pt idx="5">
                  <c:v>8353</c:v>
                </c:pt>
                <c:pt idx="6">
                  <c:v>4498</c:v>
                </c:pt>
                <c:pt idx="7">
                  <c:v>298.55</c:v>
                </c:pt>
                <c:pt idx="8">
                  <c:v>3239.76</c:v>
                </c:pt>
                <c:pt idx="9">
                  <c:v>98.23</c:v>
                </c:pt>
                <c:pt idx="10">
                  <c:v>496.59</c:v>
                </c:pt>
              </c:numCache>
            </c:numRef>
          </c:val>
        </c:ser>
        <c:gapWidth val="150"/>
        <c:overlap val="0"/>
        <c:axId val="97003866"/>
        <c:axId val="77322329"/>
      </c:barChart>
      <c:catAx>
        <c:axId val="97003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322329"/>
        <c:crosses val="autoZero"/>
        <c:auto val="1"/>
        <c:lblAlgn val="ctr"/>
        <c:lblOffset val="100"/>
        <c:noMultiLvlLbl val="0"/>
      </c:catAx>
      <c:valAx>
        <c:axId val="77322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038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8</xdr:col>
      <xdr:colOff>916560</xdr:colOff>
      <xdr:row>66</xdr:row>
      <xdr:rowOff>44640</xdr:rowOff>
    </xdr:to>
    <xdr:graphicFrame>
      <xdr:nvGraphicFramePr>
        <xdr:cNvPr id="0" name="Chart 1"/>
        <xdr:cNvGraphicFramePr/>
      </xdr:nvGraphicFramePr>
      <xdr:xfrm>
        <a:off x="0" y="806760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36</xdr:row>
      <xdr:rowOff>0</xdr:rowOff>
    </xdr:from>
    <xdr:to>
      <xdr:col>15</xdr:col>
      <xdr:colOff>528480</xdr:colOff>
      <xdr:row>66</xdr:row>
      <xdr:rowOff>44640</xdr:rowOff>
    </xdr:to>
    <xdr:graphicFrame>
      <xdr:nvGraphicFramePr>
        <xdr:cNvPr id="1" name="Chart 2"/>
        <xdr:cNvGraphicFramePr/>
      </xdr:nvGraphicFramePr>
      <xdr:xfrm>
        <a:off x="12546360" y="8067600"/>
        <a:ext cx="50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8</xdr:col>
      <xdr:colOff>916560</xdr:colOff>
      <xdr:row>84</xdr:row>
      <xdr:rowOff>44640</xdr:rowOff>
    </xdr:to>
    <xdr:graphicFrame>
      <xdr:nvGraphicFramePr>
        <xdr:cNvPr id="2" name="Chart 3"/>
        <xdr:cNvGraphicFramePr/>
      </xdr:nvGraphicFramePr>
      <xdr:xfrm>
        <a:off x="0" y="1149660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54</xdr:row>
      <xdr:rowOff>0</xdr:rowOff>
    </xdr:from>
    <xdr:to>
      <xdr:col>15</xdr:col>
      <xdr:colOff>528480</xdr:colOff>
      <xdr:row>84</xdr:row>
      <xdr:rowOff>44640</xdr:rowOff>
    </xdr:to>
    <xdr:graphicFrame>
      <xdr:nvGraphicFramePr>
        <xdr:cNvPr id="3" name="Chart 4"/>
        <xdr:cNvGraphicFramePr/>
      </xdr:nvGraphicFramePr>
      <xdr:xfrm>
        <a:off x="12546360" y="11496600"/>
        <a:ext cx="50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6</xdr:col>
      <xdr:colOff>181440</xdr:colOff>
      <xdr:row>60</xdr:row>
      <xdr:rowOff>44640</xdr:rowOff>
    </xdr:to>
    <xdr:graphicFrame>
      <xdr:nvGraphicFramePr>
        <xdr:cNvPr id="4" name="Chart 1"/>
        <xdr:cNvGraphicFramePr/>
      </xdr:nvGraphicFramePr>
      <xdr:xfrm>
        <a:off x="0" y="609588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6</xdr:col>
      <xdr:colOff>181440</xdr:colOff>
      <xdr:row>92</xdr:row>
      <xdr:rowOff>44640</xdr:rowOff>
    </xdr:to>
    <xdr:graphicFrame>
      <xdr:nvGraphicFramePr>
        <xdr:cNvPr id="5" name="Chart 2"/>
        <xdr:cNvGraphicFramePr/>
      </xdr:nvGraphicFramePr>
      <xdr:xfrm>
        <a:off x="0" y="1219212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S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19" min="2" style="0" width="16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9.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  <c r="O4" s="3"/>
      <c r="P4" s="3" t="s">
        <v>7</v>
      </c>
      <c r="Q4" s="3"/>
      <c r="R4" s="3"/>
    </row>
    <row r="5" customFormat="false" ht="34.5" hidden="false" customHeight="true" outlineLevel="0" collapsed="false">
      <c r="A5" s="4" t="n">
        <v>30719.34</v>
      </c>
      <c r="B5" s="4"/>
      <c r="C5" s="4"/>
      <c r="D5" s="4" t="n">
        <v>13607.23</v>
      </c>
      <c r="E5" s="4"/>
      <c r="F5" s="4"/>
      <c r="G5" s="4" t="n">
        <v>17112.11</v>
      </c>
      <c r="H5" s="4"/>
      <c r="I5" s="4"/>
      <c r="J5" s="4" t="n">
        <v>3764.52</v>
      </c>
      <c r="K5" s="4"/>
      <c r="L5" s="4"/>
      <c r="M5" s="5" t="n">
        <v>0.5648567645</v>
      </c>
      <c r="N5" s="5"/>
      <c r="O5" s="5"/>
      <c r="P5" s="5" t="n">
        <v>1.19452699497648</v>
      </c>
      <c r="Q5" s="5"/>
      <c r="R5" s="5"/>
    </row>
    <row r="6" customFormat="false" ht="21.75" hidden="false" customHeight="true" outlineLevel="0" collapsed="false">
      <c r="A6" s="6" t="n">
        <v>0.133493078606777</v>
      </c>
      <c r="B6" s="6"/>
      <c r="C6" s="6"/>
      <c r="D6" s="6" t="n">
        <v>0.400040332662151</v>
      </c>
      <c r="E6" s="6"/>
      <c r="F6" s="6"/>
      <c r="G6" s="7" t="n">
        <v>-0.0155445392470852</v>
      </c>
      <c r="H6" s="7"/>
      <c r="I6" s="7"/>
      <c r="J6" s="7" t="n">
        <v>-0.205368300179</v>
      </c>
      <c r="K6" s="7"/>
      <c r="L6" s="7"/>
      <c r="M6" s="8"/>
      <c r="N6" s="8"/>
      <c r="O6" s="8"/>
      <c r="P6" s="8"/>
      <c r="Q6" s="8"/>
      <c r="R6" s="8"/>
    </row>
    <row r="9" customFormat="false" ht="30" hidden="false" customHeight="true" outlineLevel="0" collapsed="false">
      <c r="A9" s="9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customFormat="false" ht="34.5" hidden="false" customHeight="true" outlineLevel="0" collapsed="false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0" t="s">
        <v>18</v>
      </c>
      <c r="K10" s="10" t="s">
        <v>19</v>
      </c>
      <c r="L10" s="10" t="s">
        <v>20</v>
      </c>
      <c r="M10" s="10" t="s">
        <v>3</v>
      </c>
      <c r="N10" s="10" t="s">
        <v>21</v>
      </c>
      <c r="O10" s="10" t="s">
        <v>22</v>
      </c>
      <c r="P10" s="10" t="s">
        <v>23</v>
      </c>
      <c r="Q10" s="10" t="s">
        <v>24</v>
      </c>
      <c r="R10" s="10" t="s">
        <v>25</v>
      </c>
      <c r="S10" s="10" t="s">
        <v>26</v>
      </c>
    </row>
    <row r="11" customFormat="false" ht="15" hidden="false" customHeight="false" outlineLevel="0" collapsed="false">
      <c r="A11" s="11" t="s">
        <v>27</v>
      </c>
      <c r="B11" s="12" t="n">
        <v>2439.73</v>
      </c>
      <c r="C11" s="12" t="n">
        <v>4282</v>
      </c>
      <c r="D11" s="12" t="n">
        <v>600</v>
      </c>
      <c r="E11" s="12" t="n">
        <v>715.52</v>
      </c>
      <c r="F11" s="12" t="n">
        <v>409.29</v>
      </c>
      <c r="G11" s="12" t="n">
        <v>4760</v>
      </c>
      <c r="H11" s="12" t="n">
        <v>155.62</v>
      </c>
      <c r="I11" s="12" t="n">
        <v>636</v>
      </c>
      <c r="J11" s="12" t="n">
        <v>0</v>
      </c>
      <c r="K11" s="12" t="n">
        <v>0</v>
      </c>
      <c r="L11" s="12" t="n">
        <v>0</v>
      </c>
      <c r="M11" s="13" t="n">
        <v>2360.81</v>
      </c>
      <c r="N11" s="13" t="n">
        <v>6721.73</v>
      </c>
      <c r="O11" s="13" t="n">
        <v>4915.62</v>
      </c>
      <c r="P11" s="13" t="n">
        <v>11637.35</v>
      </c>
      <c r="Q11" s="14" t="n">
        <v>13998.16</v>
      </c>
      <c r="R11" s="12" t="n">
        <v>2004.6</v>
      </c>
      <c r="S11" s="15" t="n">
        <v>0</v>
      </c>
    </row>
    <row r="12" customFormat="false" ht="15" hidden="false" customHeight="false" outlineLevel="0" collapsed="false">
      <c r="A12" s="16" t="s">
        <v>28</v>
      </c>
      <c r="B12" s="17" t="n">
        <v>2871.27</v>
      </c>
      <c r="C12" s="17" t="n">
        <v>4940</v>
      </c>
      <c r="D12" s="17" t="n">
        <v>800</v>
      </c>
      <c r="E12" s="17" t="n">
        <v>1566.76</v>
      </c>
      <c r="F12" s="17" t="n">
        <v>299.29</v>
      </c>
      <c r="G12" s="17" t="n">
        <v>4908</v>
      </c>
      <c r="H12" s="17" t="n">
        <v>161.82</v>
      </c>
      <c r="I12" s="17" t="n">
        <v>420</v>
      </c>
      <c r="J12" s="17" t="n">
        <v>0</v>
      </c>
      <c r="K12" s="17" t="n">
        <v>0</v>
      </c>
      <c r="L12" s="17" t="n">
        <v>0</v>
      </c>
      <c r="M12" s="18" t="n">
        <v>3086.05</v>
      </c>
      <c r="N12" s="18" t="n">
        <v>7811.27</v>
      </c>
      <c r="O12" s="18" t="n">
        <v>5069.82</v>
      </c>
      <c r="P12" s="18" t="n">
        <v>12881.09</v>
      </c>
      <c r="Q12" s="14" t="n">
        <v>15967.14</v>
      </c>
      <c r="R12" s="17" t="n">
        <v>2943.35</v>
      </c>
      <c r="S12" s="19" t="n">
        <v>1968.98</v>
      </c>
    </row>
    <row r="13" customFormat="false" ht="15" hidden="false" customHeight="false" outlineLevel="0" collapsed="false">
      <c r="A13" s="11" t="s">
        <v>29</v>
      </c>
      <c r="B13" s="12" t="n">
        <v>2789.39</v>
      </c>
      <c r="C13" s="12" t="n">
        <v>4488</v>
      </c>
      <c r="D13" s="12" t="n">
        <v>800</v>
      </c>
      <c r="E13" s="12" t="n">
        <v>294.88</v>
      </c>
      <c r="F13" s="12" t="n">
        <v>409.29</v>
      </c>
      <c r="G13" s="12" t="n">
        <v>4848</v>
      </c>
      <c r="H13" s="12" t="n">
        <v>159.23</v>
      </c>
      <c r="I13" s="12" t="n">
        <v>133.6</v>
      </c>
      <c r="J13" s="12" t="n">
        <v>0</v>
      </c>
      <c r="K13" s="12" t="n">
        <v>0</v>
      </c>
      <c r="L13" s="12" t="n">
        <v>0</v>
      </c>
      <c r="M13" s="13" t="n">
        <v>1637.77</v>
      </c>
      <c r="N13" s="13" t="n">
        <v>7277.39</v>
      </c>
      <c r="O13" s="13" t="n">
        <v>5007.23</v>
      </c>
      <c r="P13" s="13" t="n">
        <v>12284.62</v>
      </c>
      <c r="Q13" s="14" t="n">
        <v>13922.39</v>
      </c>
      <c r="R13" s="12" t="n">
        <v>3110.83</v>
      </c>
      <c r="S13" s="20" t="n">
        <v>-2044.75</v>
      </c>
    </row>
    <row r="14" customFormat="false" ht="15" hidden="false" customHeight="false" outlineLevel="0" collapsed="false">
      <c r="A14" s="16" t="s">
        <v>30</v>
      </c>
      <c r="B14" s="17" t="n">
        <v>2149.32</v>
      </c>
      <c r="C14" s="17" t="n">
        <v>3357</v>
      </c>
      <c r="D14" s="17" t="n">
        <v>1000</v>
      </c>
      <c r="E14" s="17" t="n">
        <v>128.64</v>
      </c>
      <c r="F14" s="17" t="n">
        <v>245.78</v>
      </c>
      <c r="G14" s="17" t="n">
        <v>4935</v>
      </c>
      <c r="H14" s="17" t="n">
        <v>162.22</v>
      </c>
      <c r="I14" s="17" t="n">
        <v>210.1</v>
      </c>
      <c r="J14" s="17" t="n">
        <v>0</v>
      </c>
      <c r="K14" s="17" t="n">
        <v>0</v>
      </c>
      <c r="L14" s="17" t="n">
        <v>0</v>
      </c>
      <c r="M14" s="18" t="n">
        <v>1584.52</v>
      </c>
      <c r="N14" s="18" t="n">
        <v>5506.32</v>
      </c>
      <c r="O14" s="18" t="n">
        <v>5097.22</v>
      </c>
      <c r="P14" s="18" t="n">
        <v>10603.54</v>
      </c>
      <c r="Q14" s="14" t="n">
        <v>12188.06</v>
      </c>
      <c r="R14" s="17" t="n">
        <v>3128</v>
      </c>
      <c r="S14" s="21" t="n">
        <v>-1734.33</v>
      </c>
    </row>
    <row r="15" customFormat="false" ht="15" hidden="false" customHeight="false" outlineLevel="0" collapsed="false">
      <c r="A15" s="11" t="s">
        <v>31</v>
      </c>
      <c r="B15" s="12" t="n">
        <v>2666.84</v>
      </c>
      <c r="C15" s="12" t="n">
        <v>3399</v>
      </c>
      <c r="D15" s="12" t="n">
        <v>1200</v>
      </c>
      <c r="E15" s="12" t="n">
        <v>1116.97</v>
      </c>
      <c r="F15" s="12" t="n">
        <v>87.78</v>
      </c>
      <c r="G15" s="12" t="n">
        <v>4989</v>
      </c>
      <c r="H15" s="12" t="n">
        <v>163.26</v>
      </c>
      <c r="I15" s="12" t="n">
        <v>109.67</v>
      </c>
      <c r="J15" s="12" t="n">
        <v>0</v>
      </c>
      <c r="K15" s="12" t="n">
        <v>0</v>
      </c>
      <c r="L15" s="12" t="n">
        <v>0</v>
      </c>
      <c r="M15" s="13" t="n">
        <v>2514.42</v>
      </c>
      <c r="N15" s="13" t="n">
        <v>6065.84</v>
      </c>
      <c r="O15" s="13" t="n">
        <v>5152.26</v>
      </c>
      <c r="P15" s="13" t="n">
        <v>11218.1</v>
      </c>
      <c r="Q15" s="14" t="n">
        <v>13732.52</v>
      </c>
      <c r="R15" s="12" t="n">
        <v>2869.26</v>
      </c>
      <c r="S15" s="15" t="n">
        <v>1544.46</v>
      </c>
    </row>
    <row r="16" customFormat="false" ht="15" hidden="false" customHeight="false" outlineLevel="0" collapsed="false">
      <c r="A16" s="16" t="s">
        <v>32</v>
      </c>
      <c r="B16" s="17" t="n">
        <v>2255.98</v>
      </c>
      <c r="C16" s="17" t="n">
        <v>2822</v>
      </c>
      <c r="D16" s="17" t="n">
        <v>1400</v>
      </c>
      <c r="E16" s="17" t="n">
        <v>1100.53</v>
      </c>
      <c r="F16" s="17" t="n">
        <v>61.43</v>
      </c>
      <c r="G16" s="17" t="n">
        <v>4954</v>
      </c>
      <c r="H16" s="17" t="n">
        <v>163.39</v>
      </c>
      <c r="I16" s="17" t="n">
        <v>87</v>
      </c>
      <c r="J16" s="17" t="n">
        <v>0</v>
      </c>
      <c r="K16" s="17" t="n">
        <v>0</v>
      </c>
      <c r="L16" s="17" t="n">
        <v>0</v>
      </c>
      <c r="M16" s="18" t="n">
        <v>2648.96</v>
      </c>
      <c r="N16" s="18" t="n">
        <v>5077.98</v>
      </c>
      <c r="O16" s="18" t="n">
        <v>5117.39</v>
      </c>
      <c r="P16" s="18" t="n">
        <v>10195.37</v>
      </c>
      <c r="Q16" s="14" t="n">
        <v>12844.33</v>
      </c>
      <c r="R16" s="17" t="n">
        <v>3183.81</v>
      </c>
      <c r="S16" s="21" t="n">
        <v>-888.19</v>
      </c>
    </row>
    <row r="17" customFormat="false" ht="15" hidden="false" customHeight="false" outlineLevel="0" collapsed="false">
      <c r="A17" s="11" t="s">
        <v>33</v>
      </c>
      <c r="B17" s="12" t="n">
        <v>2482.31</v>
      </c>
      <c r="C17" s="12" t="n">
        <v>3090</v>
      </c>
      <c r="D17" s="12" t="n">
        <v>1600</v>
      </c>
      <c r="E17" s="12" t="n">
        <v>426.27</v>
      </c>
      <c r="F17" s="12" t="n">
        <v>37.7</v>
      </c>
      <c r="G17" s="12" t="n">
        <v>5154</v>
      </c>
      <c r="H17" s="12" t="n">
        <v>168.21</v>
      </c>
      <c r="I17" s="12" t="n">
        <v>319</v>
      </c>
      <c r="J17" s="12" t="n">
        <v>0</v>
      </c>
      <c r="K17" s="12" t="n">
        <v>192</v>
      </c>
      <c r="L17" s="12" t="n">
        <v>0</v>
      </c>
      <c r="M17" s="13" t="n">
        <v>2574.97</v>
      </c>
      <c r="N17" s="13" t="n">
        <v>5572.31</v>
      </c>
      <c r="O17" s="13" t="n">
        <v>5322.21</v>
      </c>
      <c r="P17" s="13" t="n">
        <v>10894.52</v>
      </c>
      <c r="Q17" s="14" t="n">
        <v>13469.49</v>
      </c>
      <c r="R17" s="12" t="n">
        <v>3265.7</v>
      </c>
      <c r="S17" s="15" t="n">
        <v>625.16</v>
      </c>
    </row>
    <row r="18" customFormat="false" ht="15" hidden="false" customHeight="false" outlineLevel="0" collapsed="false">
      <c r="A18" s="16" t="s">
        <v>34</v>
      </c>
      <c r="B18" s="17" t="n">
        <v>2449.99</v>
      </c>
      <c r="C18" s="17" t="n">
        <v>2936</v>
      </c>
      <c r="D18" s="17" t="n">
        <v>1600</v>
      </c>
      <c r="E18" s="17" t="n">
        <v>1005.41</v>
      </c>
      <c r="F18" s="17" t="n">
        <v>32.07</v>
      </c>
      <c r="G18" s="17" t="n">
        <v>5321</v>
      </c>
      <c r="H18" s="17" t="n">
        <v>268.52</v>
      </c>
      <c r="I18" s="17" t="n">
        <v>23.05</v>
      </c>
      <c r="J18" s="17" t="n">
        <v>200.22</v>
      </c>
      <c r="K18" s="17" t="n">
        <v>458.54</v>
      </c>
      <c r="L18" s="17" t="n">
        <v>0</v>
      </c>
      <c r="M18" s="18" t="n">
        <v>3319.29</v>
      </c>
      <c r="N18" s="18" t="n">
        <v>5385.99</v>
      </c>
      <c r="O18" s="18" t="n">
        <v>5589.52</v>
      </c>
      <c r="P18" s="18" t="n">
        <v>10975.51</v>
      </c>
      <c r="Q18" s="14" t="n">
        <v>14294.8</v>
      </c>
      <c r="R18" s="17" t="n">
        <v>3171.01</v>
      </c>
      <c r="S18" s="19" t="n">
        <v>825.31</v>
      </c>
    </row>
    <row r="19" customFormat="false" ht="15" hidden="false" customHeight="false" outlineLevel="0" collapsed="false">
      <c r="A19" s="11" t="s">
        <v>35</v>
      </c>
      <c r="B19" s="12" t="n">
        <v>3681.53</v>
      </c>
      <c r="C19" s="12" t="n">
        <v>5616</v>
      </c>
      <c r="D19" s="12" t="n">
        <v>1600</v>
      </c>
      <c r="E19" s="12" t="n">
        <v>437.79</v>
      </c>
      <c r="F19" s="12" t="n">
        <v>314.15</v>
      </c>
      <c r="G19" s="12" t="n">
        <v>5649</v>
      </c>
      <c r="H19" s="12" t="n">
        <v>426.27</v>
      </c>
      <c r="I19" s="12" t="n">
        <v>42.89</v>
      </c>
      <c r="J19" s="12" t="n">
        <v>401.04</v>
      </c>
      <c r="K19" s="12" t="n">
        <v>928.24</v>
      </c>
      <c r="L19" s="12" t="n">
        <v>258.87</v>
      </c>
      <c r="M19" s="13" t="n">
        <v>3724.11</v>
      </c>
      <c r="N19" s="13" t="n">
        <v>9297.53</v>
      </c>
      <c r="O19" s="13" t="n">
        <v>6334.14</v>
      </c>
      <c r="P19" s="13" t="n">
        <v>15631.67</v>
      </c>
      <c r="Q19" s="14" t="n">
        <v>19355.78</v>
      </c>
      <c r="R19" s="12" t="n">
        <v>3557.88</v>
      </c>
      <c r="S19" s="15" t="n">
        <v>5060.98</v>
      </c>
    </row>
    <row r="20" customFormat="false" ht="15" hidden="false" customHeight="false" outlineLevel="0" collapsed="false">
      <c r="A20" s="16" t="s">
        <v>36</v>
      </c>
      <c r="B20" s="17" t="n">
        <v>3363.66</v>
      </c>
      <c r="C20" s="17" t="n">
        <v>3932</v>
      </c>
      <c r="D20" s="17" t="n">
        <v>1600</v>
      </c>
      <c r="E20" s="17" t="n">
        <v>725.54</v>
      </c>
      <c r="F20" s="17" t="n">
        <v>301.67</v>
      </c>
      <c r="G20" s="17" t="n">
        <v>5698</v>
      </c>
      <c r="H20" s="17" t="n">
        <v>572.92</v>
      </c>
      <c r="I20" s="17" t="n">
        <v>49.19</v>
      </c>
      <c r="J20" s="17" t="n">
        <v>602.31</v>
      </c>
      <c r="K20" s="17" t="n">
        <v>1060.75</v>
      </c>
      <c r="L20" s="17" t="n">
        <v>409.21</v>
      </c>
      <c r="M20" s="18" t="n">
        <v>4339.46</v>
      </c>
      <c r="N20" s="18" t="n">
        <v>7295.66</v>
      </c>
      <c r="O20" s="18" t="n">
        <v>6680.13</v>
      </c>
      <c r="P20" s="18" t="n">
        <v>13975.79</v>
      </c>
      <c r="Q20" s="14" t="n">
        <v>18315.25</v>
      </c>
      <c r="R20" s="17" t="n">
        <v>3152.36</v>
      </c>
      <c r="S20" s="21" t="n">
        <v>-1040.53</v>
      </c>
    </row>
    <row r="21" customFormat="false" ht="15" hidden="false" customHeight="false" outlineLevel="0" collapsed="false">
      <c r="A21" s="11" t="s">
        <v>37</v>
      </c>
      <c r="B21" s="12" t="n">
        <v>3503.13</v>
      </c>
      <c r="C21" s="12" t="n">
        <v>3490</v>
      </c>
      <c r="D21" s="12" t="n">
        <v>1600</v>
      </c>
      <c r="E21" s="12" t="n">
        <v>808.89</v>
      </c>
      <c r="F21" s="12" t="n">
        <v>505.51</v>
      </c>
      <c r="G21" s="12" t="n">
        <v>6011</v>
      </c>
      <c r="H21" s="12" t="n">
        <v>735.03</v>
      </c>
      <c r="I21" s="12" t="n">
        <v>83.26</v>
      </c>
      <c r="J21" s="12" t="n">
        <v>803.89</v>
      </c>
      <c r="K21" s="12" t="n">
        <v>1071.42</v>
      </c>
      <c r="L21" s="12" t="n">
        <v>418.3</v>
      </c>
      <c r="M21" s="13" t="n">
        <v>4872.97</v>
      </c>
      <c r="N21" s="13" t="n">
        <v>6993.13</v>
      </c>
      <c r="O21" s="13" t="n">
        <v>7164.33</v>
      </c>
      <c r="P21" s="13" t="n">
        <v>14157.46</v>
      </c>
      <c r="Q21" s="14" t="n">
        <v>19030.43</v>
      </c>
      <c r="R21" s="12" t="n">
        <v>3210.78</v>
      </c>
      <c r="S21" s="15" t="n">
        <v>715.18</v>
      </c>
    </row>
    <row r="22" customFormat="false" ht="15" hidden="false" customHeight="false" outlineLevel="0" collapsed="false">
      <c r="A22" s="16" t="s">
        <v>38</v>
      </c>
      <c r="B22" s="17" t="n">
        <v>2726.19</v>
      </c>
      <c r="C22" s="17" t="n">
        <v>2352</v>
      </c>
      <c r="D22" s="17" t="n">
        <v>1600</v>
      </c>
      <c r="E22" s="17" t="n">
        <v>824.36</v>
      </c>
      <c r="F22" s="17" t="n">
        <v>388.5</v>
      </c>
      <c r="G22" s="17" t="n">
        <v>6157</v>
      </c>
      <c r="H22" s="17" t="n">
        <v>885.83</v>
      </c>
      <c r="I22" s="17" t="n">
        <v>154.98</v>
      </c>
      <c r="J22" s="17" t="n">
        <v>1005.86</v>
      </c>
      <c r="K22" s="17" t="n">
        <v>951.64</v>
      </c>
      <c r="L22" s="17" t="n">
        <v>412.32</v>
      </c>
      <c r="M22" s="18" t="n">
        <v>4925.34</v>
      </c>
      <c r="N22" s="18" t="n">
        <v>5078.19</v>
      </c>
      <c r="O22" s="18" t="n">
        <v>7455.15</v>
      </c>
      <c r="P22" s="18" t="n">
        <v>12533.34</v>
      </c>
      <c r="Q22" s="14" t="n">
        <v>17458.68</v>
      </c>
      <c r="R22" s="17" t="n">
        <v>3371.85</v>
      </c>
      <c r="S22" s="21" t="n">
        <v>-1571.75</v>
      </c>
    </row>
    <row r="23" customFormat="false" ht="15" hidden="false" customHeight="false" outlineLevel="0" collapsed="false">
      <c r="A23" s="11" t="s">
        <v>39</v>
      </c>
      <c r="B23" s="12" t="n">
        <v>2571.14</v>
      </c>
      <c r="C23" s="12" t="n">
        <v>2090</v>
      </c>
      <c r="D23" s="12" t="n">
        <v>1600</v>
      </c>
      <c r="E23" s="12" t="n">
        <v>274.31</v>
      </c>
      <c r="F23" s="12" t="n">
        <v>440.85</v>
      </c>
      <c r="G23" s="12" t="n">
        <v>5974</v>
      </c>
      <c r="H23" s="12" t="n">
        <v>1057.02</v>
      </c>
      <c r="I23" s="12" t="n">
        <v>107.68</v>
      </c>
      <c r="J23" s="12" t="n">
        <v>1208.23</v>
      </c>
      <c r="K23" s="12" t="n">
        <v>1019.35</v>
      </c>
      <c r="L23" s="12" t="n">
        <v>424.53</v>
      </c>
      <c r="M23" s="13" t="n">
        <v>4650.42</v>
      </c>
      <c r="N23" s="13" t="n">
        <v>4661.14</v>
      </c>
      <c r="O23" s="13" t="n">
        <v>7455.55</v>
      </c>
      <c r="P23" s="13" t="n">
        <v>12116.69</v>
      </c>
      <c r="Q23" s="14" t="n">
        <v>16767.11</v>
      </c>
      <c r="R23" s="12" t="n">
        <v>3123.17</v>
      </c>
      <c r="S23" s="20" t="n">
        <v>-691.57</v>
      </c>
    </row>
    <row r="24" customFormat="false" ht="15" hidden="false" customHeight="false" outlineLevel="0" collapsed="false">
      <c r="A24" s="16" t="s">
        <v>40</v>
      </c>
      <c r="B24" s="17" t="n">
        <v>2681.94</v>
      </c>
      <c r="C24" s="17" t="n">
        <v>2199</v>
      </c>
      <c r="D24" s="17" t="n">
        <v>1600</v>
      </c>
      <c r="E24" s="17" t="n">
        <v>676.81</v>
      </c>
      <c r="F24" s="17" t="n">
        <v>179.45</v>
      </c>
      <c r="G24" s="17" t="n">
        <v>5993</v>
      </c>
      <c r="H24" s="17" t="n">
        <v>1340.1</v>
      </c>
      <c r="I24" s="17" t="n">
        <v>25.91</v>
      </c>
      <c r="J24" s="17" t="n">
        <v>1411.03</v>
      </c>
      <c r="K24" s="17" t="n">
        <v>1105.66</v>
      </c>
      <c r="L24" s="17" t="n">
        <v>415.33</v>
      </c>
      <c r="M24" s="18" t="n">
        <v>4998.86</v>
      </c>
      <c r="N24" s="18" t="n">
        <v>4880.94</v>
      </c>
      <c r="O24" s="18" t="n">
        <v>7748.43</v>
      </c>
      <c r="P24" s="18" t="n">
        <v>12629.37</v>
      </c>
      <c r="Q24" s="14" t="n">
        <v>17628.23</v>
      </c>
      <c r="R24" s="17" t="n">
        <v>3628.68</v>
      </c>
      <c r="S24" s="19" t="n">
        <v>861.12</v>
      </c>
    </row>
    <row r="25" customFormat="false" ht="15" hidden="false" customHeight="false" outlineLevel="0" collapsed="false">
      <c r="A25" s="11" t="s">
        <v>41</v>
      </c>
      <c r="B25" s="12" t="n">
        <v>3087.78</v>
      </c>
      <c r="C25" s="12" t="n">
        <v>2361</v>
      </c>
      <c r="D25" s="12" t="n">
        <v>710.6</v>
      </c>
      <c r="E25" s="12" t="n">
        <v>492.65</v>
      </c>
      <c r="F25" s="12" t="n">
        <v>316.19</v>
      </c>
      <c r="G25" s="12" t="n">
        <v>6350</v>
      </c>
      <c r="H25" s="12" t="n">
        <v>1712</v>
      </c>
      <c r="I25" s="12" t="n">
        <v>10.31</v>
      </c>
      <c r="J25" s="12" t="n">
        <v>1613.52</v>
      </c>
      <c r="K25" s="12" t="n">
        <v>1167.94</v>
      </c>
      <c r="L25" s="12" t="n">
        <v>439.36</v>
      </c>
      <c r="M25" s="13" t="n">
        <v>4311.21</v>
      </c>
      <c r="N25" s="13" t="n">
        <v>5448.78</v>
      </c>
      <c r="O25" s="13" t="n">
        <v>8501.36</v>
      </c>
      <c r="P25" s="13" t="n">
        <v>13950.14</v>
      </c>
      <c r="Q25" s="14" t="n">
        <v>18261.35</v>
      </c>
      <c r="R25" s="12" t="n">
        <v>3714.6</v>
      </c>
      <c r="S25" s="15" t="n">
        <v>633.12</v>
      </c>
    </row>
    <row r="26" customFormat="false" ht="15" hidden="false" customHeight="false" outlineLevel="0" collapsed="false">
      <c r="A26" s="16" t="s">
        <v>42</v>
      </c>
      <c r="B26" s="17" t="n">
        <v>2815.51</v>
      </c>
      <c r="C26" s="17" t="n">
        <v>2321</v>
      </c>
      <c r="D26" s="17" t="n">
        <v>1705.24</v>
      </c>
      <c r="E26" s="17" t="n">
        <v>781.06</v>
      </c>
      <c r="F26" s="17" t="n">
        <v>469.34</v>
      </c>
      <c r="G26" s="17" t="n">
        <v>6465</v>
      </c>
      <c r="H26" s="17" t="n">
        <v>1908</v>
      </c>
      <c r="I26" s="17" t="n">
        <v>9</v>
      </c>
      <c r="J26" s="17" t="n">
        <v>1616.47</v>
      </c>
      <c r="K26" s="17" t="n">
        <v>1215.87</v>
      </c>
      <c r="L26" s="17" t="n">
        <v>440.28</v>
      </c>
      <c r="M26" s="18" t="n">
        <v>5796.98</v>
      </c>
      <c r="N26" s="18" t="n">
        <v>5136.51</v>
      </c>
      <c r="O26" s="18" t="n">
        <v>8813.28</v>
      </c>
      <c r="P26" s="18" t="n">
        <v>13949.79</v>
      </c>
      <c r="Q26" s="14" t="n">
        <v>19746.77</v>
      </c>
      <c r="R26" s="17" t="n">
        <v>3891.52</v>
      </c>
      <c r="S26" s="19" t="n">
        <v>1485.42</v>
      </c>
    </row>
    <row r="27" customFormat="false" ht="15" hidden="false" customHeight="false" outlineLevel="0" collapsed="false">
      <c r="A27" s="11" t="s">
        <v>43</v>
      </c>
      <c r="B27" s="12" t="n">
        <v>3629.23</v>
      </c>
      <c r="C27" s="12" t="n">
        <v>3003</v>
      </c>
      <c r="D27" s="12" t="n">
        <v>1707.23</v>
      </c>
      <c r="E27" s="12" t="n">
        <v>1245.39</v>
      </c>
      <c r="F27" s="12" t="n">
        <v>694.5</v>
      </c>
      <c r="G27" s="12" t="n">
        <v>6704</v>
      </c>
      <c r="H27" s="12" t="n">
        <v>2163</v>
      </c>
      <c r="I27" s="12" t="n">
        <v>47.95</v>
      </c>
      <c r="J27" s="12" t="n">
        <v>1818.84</v>
      </c>
      <c r="K27" s="12" t="n">
        <v>1268.79</v>
      </c>
      <c r="L27" s="12" t="n">
        <v>452.43</v>
      </c>
      <c r="M27" s="13" t="n">
        <v>6782.7</v>
      </c>
      <c r="N27" s="13" t="n">
        <v>6632.23</v>
      </c>
      <c r="O27" s="13" t="n">
        <v>9319.43</v>
      </c>
      <c r="P27" s="13" t="n">
        <v>15951.66</v>
      </c>
      <c r="Q27" s="14" t="n">
        <v>22734.36</v>
      </c>
      <c r="R27" s="12" t="n">
        <v>3918.17</v>
      </c>
      <c r="S27" s="15" t="n">
        <v>2987.59</v>
      </c>
    </row>
    <row r="28" customFormat="false" ht="15" hidden="false" customHeight="false" outlineLevel="0" collapsed="false">
      <c r="A28" s="16" t="s">
        <v>44</v>
      </c>
      <c r="B28" s="17" t="n">
        <v>3624.48</v>
      </c>
      <c r="C28" s="17" t="n">
        <v>3171</v>
      </c>
      <c r="D28" s="17" t="n">
        <v>1707.25</v>
      </c>
      <c r="E28" s="17" t="n">
        <v>1338.98</v>
      </c>
      <c r="F28" s="17" t="n">
        <v>977.81</v>
      </c>
      <c r="G28" s="17" t="n">
        <v>6929</v>
      </c>
      <c r="H28" s="17" t="n">
        <v>2437</v>
      </c>
      <c r="I28" s="17" t="n">
        <v>46.81</v>
      </c>
      <c r="J28" s="17" t="n">
        <v>2022.43</v>
      </c>
      <c r="K28" s="17" t="n">
        <v>1330.33</v>
      </c>
      <c r="L28" s="17" t="n">
        <v>459.03</v>
      </c>
      <c r="M28" s="18" t="n">
        <v>7423.61</v>
      </c>
      <c r="N28" s="18" t="n">
        <v>6795.48</v>
      </c>
      <c r="O28" s="18" t="n">
        <v>9825.03</v>
      </c>
      <c r="P28" s="18" t="n">
        <v>16620.51</v>
      </c>
      <c r="Q28" s="14" t="n">
        <v>24044.12</v>
      </c>
      <c r="R28" s="17" t="n">
        <v>3967.98</v>
      </c>
      <c r="S28" s="19" t="n">
        <v>1309.76</v>
      </c>
    </row>
    <row r="29" customFormat="false" ht="15" hidden="false" customHeight="false" outlineLevel="0" collapsed="false">
      <c r="A29" s="11" t="s">
        <v>45</v>
      </c>
      <c r="B29" s="12" t="n">
        <v>3911.93</v>
      </c>
      <c r="C29" s="12" t="n">
        <v>3289</v>
      </c>
      <c r="D29" s="12" t="n">
        <v>1944.27</v>
      </c>
      <c r="E29" s="12" t="n">
        <v>167.97</v>
      </c>
      <c r="F29" s="12" t="n">
        <v>1226.26</v>
      </c>
      <c r="G29" s="12" t="n">
        <v>7192</v>
      </c>
      <c r="H29" s="12" t="n">
        <v>2754</v>
      </c>
      <c r="I29" s="12" t="n">
        <v>25.74</v>
      </c>
      <c r="J29" s="12" t="n">
        <v>2225.55</v>
      </c>
      <c r="K29" s="12" t="n">
        <v>1379.41</v>
      </c>
      <c r="L29" s="12" t="n">
        <v>477.15</v>
      </c>
      <c r="M29" s="13" t="n">
        <v>6969.2</v>
      </c>
      <c r="N29" s="13" t="n">
        <v>7200.93</v>
      </c>
      <c r="O29" s="13" t="n">
        <v>10423.15</v>
      </c>
      <c r="P29" s="13" t="n">
        <v>17624.08</v>
      </c>
      <c r="Q29" s="14" t="n">
        <v>24593.28</v>
      </c>
      <c r="R29" s="12" t="n">
        <v>3492.38</v>
      </c>
      <c r="S29" s="15" t="n">
        <v>549.16</v>
      </c>
    </row>
    <row r="30" customFormat="false" ht="15" hidden="false" customHeight="false" outlineLevel="0" collapsed="false">
      <c r="A30" s="16" t="s">
        <v>46</v>
      </c>
      <c r="B30" s="17" t="n">
        <v>3867.94</v>
      </c>
      <c r="C30" s="17" t="n">
        <v>3046</v>
      </c>
      <c r="D30" s="17" t="n">
        <v>2192.3</v>
      </c>
      <c r="E30" s="17" t="n">
        <v>1142.8</v>
      </c>
      <c r="F30" s="17" t="n">
        <v>866.26</v>
      </c>
      <c r="G30" s="17" t="n">
        <v>7594</v>
      </c>
      <c r="H30" s="17" t="n">
        <v>3168</v>
      </c>
      <c r="I30" s="17" t="n">
        <v>65.79</v>
      </c>
      <c r="J30" s="17" t="n">
        <v>2428.44</v>
      </c>
      <c r="K30" s="17" t="n">
        <v>1451.45</v>
      </c>
      <c r="L30" s="17" t="n">
        <v>498.81</v>
      </c>
      <c r="M30" s="18" t="n">
        <v>8147.04</v>
      </c>
      <c r="N30" s="18" t="n">
        <v>6913.94</v>
      </c>
      <c r="O30" s="18" t="n">
        <v>11260.81</v>
      </c>
      <c r="P30" s="18" t="n">
        <v>18174.75</v>
      </c>
      <c r="Q30" s="14" t="n">
        <v>26321.79</v>
      </c>
      <c r="R30" s="17" t="n">
        <v>3703.53</v>
      </c>
      <c r="S30" s="19" t="n">
        <v>1728.51</v>
      </c>
    </row>
    <row r="31" customFormat="false" ht="15" hidden="false" customHeight="false" outlineLevel="0" collapsed="false">
      <c r="A31" s="11" t="s">
        <v>47</v>
      </c>
      <c r="B31" s="12" t="n">
        <v>3313.88</v>
      </c>
      <c r="C31" s="12" t="n">
        <v>2090</v>
      </c>
      <c r="D31" s="12" t="n">
        <v>1600</v>
      </c>
      <c r="E31" s="12" t="n">
        <v>395.3</v>
      </c>
      <c r="F31" s="12" t="n">
        <v>507.83</v>
      </c>
      <c r="G31" s="12" t="n">
        <v>7658</v>
      </c>
      <c r="H31" s="12" t="n">
        <v>3417</v>
      </c>
      <c r="I31" s="12" t="n">
        <v>140.45</v>
      </c>
      <c r="J31" s="12" t="n">
        <v>2631.87</v>
      </c>
      <c r="K31" s="12" t="n">
        <v>1502.69</v>
      </c>
      <c r="L31" s="12" t="n">
        <v>499.07</v>
      </c>
      <c r="M31" s="13" t="n">
        <v>6778.14</v>
      </c>
      <c r="N31" s="13" t="n">
        <v>5403.88</v>
      </c>
      <c r="O31" s="13" t="n">
        <v>11574.07</v>
      </c>
      <c r="P31" s="13" t="n">
        <v>16977.95</v>
      </c>
      <c r="Q31" s="14" t="n">
        <v>23756.09</v>
      </c>
      <c r="R31" s="12" t="n">
        <v>3703.53</v>
      </c>
      <c r="S31" s="20" t="n">
        <v>-2565.7</v>
      </c>
    </row>
    <row r="32" customFormat="false" ht="15" hidden="false" customHeight="false" outlineLevel="0" collapsed="false">
      <c r="A32" s="16" t="s">
        <v>48</v>
      </c>
      <c r="B32" s="17" t="n">
        <v>3217.44</v>
      </c>
      <c r="C32" s="17" t="n">
        <v>1867</v>
      </c>
      <c r="D32" s="17" t="n">
        <v>3094.74</v>
      </c>
      <c r="E32" s="17" t="n">
        <v>1095.42</v>
      </c>
      <c r="F32" s="17" t="n">
        <v>602.37</v>
      </c>
      <c r="G32" s="17" t="n">
        <v>7839</v>
      </c>
      <c r="H32" s="17" t="n">
        <v>3700</v>
      </c>
      <c r="I32" s="17" t="n">
        <v>165.45</v>
      </c>
      <c r="J32" s="17" t="n">
        <v>2834.01</v>
      </c>
      <c r="K32" s="17" t="n">
        <v>1532.92</v>
      </c>
      <c r="L32" s="17" t="n">
        <v>495.6</v>
      </c>
      <c r="M32" s="18" t="n">
        <v>9324.91</v>
      </c>
      <c r="N32" s="18" t="n">
        <v>5084.44</v>
      </c>
      <c r="O32" s="18" t="n">
        <v>12034.6</v>
      </c>
      <c r="P32" s="18" t="n">
        <v>17119.04</v>
      </c>
      <c r="Q32" s="14" t="n">
        <v>26443.95</v>
      </c>
      <c r="R32" s="17" t="n">
        <v>3508.78</v>
      </c>
      <c r="S32" s="19" t="n">
        <v>2687.86</v>
      </c>
    </row>
    <row r="33" customFormat="false" ht="15" hidden="false" customHeight="false" outlineLevel="0" collapsed="false">
      <c r="A33" s="11" t="s">
        <v>49</v>
      </c>
      <c r="B33" s="12" t="n">
        <v>3063.44</v>
      </c>
      <c r="C33" s="12" t="n">
        <v>1674</v>
      </c>
      <c r="D33" s="12" t="n">
        <v>2700.29</v>
      </c>
      <c r="E33" s="12" t="n">
        <v>1635.13</v>
      </c>
      <c r="F33" s="12" t="n">
        <v>776.33</v>
      </c>
      <c r="G33" s="12" t="n">
        <v>8080</v>
      </c>
      <c r="H33" s="12" t="n">
        <v>4070</v>
      </c>
      <c r="I33" s="12" t="n">
        <v>2.33</v>
      </c>
      <c r="J33" s="12" t="n">
        <v>3036.7</v>
      </c>
      <c r="K33" s="12" t="n">
        <v>1568.39</v>
      </c>
      <c r="L33" s="12" t="n">
        <v>494.87</v>
      </c>
      <c r="M33" s="13" t="n">
        <v>9719.17</v>
      </c>
      <c r="N33" s="13" t="n">
        <v>4737.44</v>
      </c>
      <c r="O33" s="13" t="n">
        <v>12644.87</v>
      </c>
      <c r="P33" s="13" t="n">
        <v>17382.31</v>
      </c>
      <c r="Q33" s="14" t="n">
        <v>27101.48</v>
      </c>
      <c r="R33" s="12" t="n">
        <v>4247.81</v>
      </c>
      <c r="S33" s="15" t="n">
        <v>657.53</v>
      </c>
    </row>
    <row r="34" customFormat="false" ht="15" hidden="false" customHeight="false" outlineLevel="0" collapsed="false">
      <c r="A34" s="16" t="s">
        <v>50</v>
      </c>
      <c r="B34" s="17" t="n">
        <v>2415.52</v>
      </c>
      <c r="C34" s="17" t="n">
        <v>1349</v>
      </c>
      <c r="D34" s="17" t="n">
        <v>2000</v>
      </c>
      <c r="E34" s="17" t="n">
        <v>6952.86</v>
      </c>
      <c r="F34" s="17" t="n">
        <v>1017.83</v>
      </c>
      <c r="G34" s="17" t="n">
        <v>8353</v>
      </c>
      <c r="H34" s="17" t="n">
        <v>4498</v>
      </c>
      <c r="I34" s="17" t="n">
        <v>298.55</v>
      </c>
      <c r="J34" s="17" t="n">
        <v>3239.76</v>
      </c>
      <c r="K34" s="17" t="n">
        <v>98.23</v>
      </c>
      <c r="L34" s="17" t="n">
        <v>496.59</v>
      </c>
      <c r="M34" s="18" t="n">
        <v>13607.23</v>
      </c>
      <c r="N34" s="18" t="n">
        <v>3764.52</v>
      </c>
      <c r="O34" s="18" t="n">
        <v>13347.59</v>
      </c>
      <c r="P34" s="18" t="n">
        <v>17112.11</v>
      </c>
      <c r="Q34" s="14" t="n">
        <v>30719.34</v>
      </c>
      <c r="R34" s="17" t="n">
        <v>4014.95</v>
      </c>
      <c r="S34" s="19" t="n">
        <v>3617.86</v>
      </c>
    </row>
    <row r="57" customFormat="false" ht="15" hidden="false" customHeight="false" outlineLevel="0" collapsed="false">
      <c r="A57" s="22" t="s">
        <v>51</v>
      </c>
      <c r="B57" s="22" t="s">
        <v>52</v>
      </c>
    </row>
    <row r="58" customFormat="false" ht="15" hidden="false" customHeight="false" outlineLevel="0" collapsed="false">
      <c r="A58" s="0" t="s">
        <v>53</v>
      </c>
      <c r="B58" s="0" t="n">
        <v>13607.23</v>
      </c>
    </row>
    <row r="59" customFormat="false" ht="15" hidden="false" customHeight="false" outlineLevel="0" collapsed="false">
      <c r="A59" s="0" t="s">
        <v>54</v>
      </c>
      <c r="B59" s="0" t="n">
        <v>3764.52</v>
      </c>
    </row>
    <row r="60" customFormat="false" ht="15" hidden="false" customHeight="false" outlineLevel="0" collapsed="false">
      <c r="A60" s="0" t="s">
        <v>55</v>
      </c>
      <c r="B60" s="0" t="n">
        <v>13347.59</v>
      </c>
    </row>
  </sheetData>
  <mergeCells count="21">
    <mergeCell ref="A1:S1"/>
    <mergeCell ref="A2:S2"/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9:S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20"/>
  </cols>
  <sheetData>
    <row r="1" customFormat="false" ht="4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57</v>
      </c>
      <c r="B3" s="9"/>
      <c r="C3" s="9"/>
      <c r="D3" s="9"/>
      <c r="F3" s="9" t="s">
        <v>58</v>
      </c>
      <c r="G3" s="9"/>
      <c r="H3" s="9"/>
    </row>
    <row r="4" customFormat="false" ht="15" hidden="false" customHeight="false" outlineLevel="0" collapsed="false">
      <c r="A4" s="23" t="s">
        <v>59</v>
      </c>
      <c r="B4" s="24" t="n">
        <v>13998.16</v>
      </c>
      <c r="F4" s="25" t="s">
        <v>9</v>
      </c>
      <c r="G4" s="25" t="s">
        <v>60</v>
      </c>
      <c r="H4" s="25" t="s">
        <v>61</v>
      </c>
      <c r="I4" s="25" t="s">
        <v>62</v>
      </c>
    </row>
    <row r="5" customFormat="false" ht="15" hidden="false" customHeight="false" outlineLevel="0" collapsed="false">
      <c r="A5" s="23" t="s">
        <v>63</v>
      </c>
      <c r="B5" s="24" t="n">
        <v>30719.34</v>
      </c>
      <c r="F5" s="26" t="s">
        <v>27</v>
      </c>
      <c r="G5" s="27" t="n">
        <v>0.1686514513</v>
      </c>
      <c r="H5" s="27" t="n">
        <v>0.4801866817</v>
      </c>
      <c r="I5" s="27" t="n">
        <v>0.351161867</v>
      </c>
    </row>
    <row r="6" customFormat="false" ht="15" hidden="false" customHeight="false" outlineLevel="0" collapsed="false">
      <c r="A6" s="23" t="s">
        <v>64</v>
      </c>
      <c r="B6" s="28" t="n">
        <v>16721.18</v>
      </c>
      <c r="F6" s="29" t="s">
        <v>28</v>
      </c>
      <c r="G6" s="30" t="n">
        <v>0.1932750637</v>
      </c>
      <c r="H6" s="30" t="n">
        <v>0.4892090882</v>
      </c>
      <c r="I6" s="30" t="n">
        <v>0.3175158482</v>
      </c>
    </row>
    <row r="7" customFormat="false" ht="15" hidden="false" customHeight="false" outlineLevel="0" collapsed="false">
      <c r="A7" s="23" t="s">
        <v>65</v>
      </c>
      <c r="B7" s="31" t="n">
        <v>1.19452699497648</v>
      </c>
      <c r="F7" s="26" t="s">
        <v>29</v>
      </c>
      <c r="G7" s="27" t="n">
        <v>0.1176356933</v>
      </c>
      <c r="H7" s="27" t="n">
        <v>0.5227112586</v>
      </c>
      <c r="I7" s="27" t="n">
        <v>0.3596530481</v>
      </c>
    </row>
    <row r="8" customFormat="false" ht="15" hidden="false" customHeight="false" outlineLevel="0" collapsed="false">
      <c r="A8" s="32"/>
      <c r="B8" s="33"/>
      <c r="F8" s="29" t="s">
        <v>30</v>
      </c>
      <c r="G8" s="30" t="n">
        <v>0.1300059238</v>
      </c>
      <c r="H8" s="30" t="n">
        <v>0.4517798567</v>
      </c>
      <c r="I8" s="30" t="n">
        <v>0.4182142195</v>
      </c>
    </row>
    <row r="9" customFormat="false" ht="15" hidden="false" customHeight="false" outlineLevel="0" collapsed="false">
      <c r="A9" s="23" t="s">
        <v>66</v>
      </c>
      <c r="B9" s="24" t="n">
        <v>3411.85541666667</v>
      </c>
      <c r="F9" s="26" t="s">
        <v>31</v>
      </c>
      <c r="G9" s="27" t="n">
        <v>0.1830996787</v>
      </c>
      <c r="H9" s="27" t="n">
        <v>0.4417135384</v>
      </c>
      <c r="I9" s="27" t="n">
        <v>0.3751867829</v>
      </c>
    </row>
    <row r="10" customFormat="false" ht="15" hidden="false" customHeight="false" outlineLevel="0" collapsed="false">
      <c r="A10" s="23" t="s">
        <v>67</v>
      </c>
      <c r="B10" s="34" t="s">
        <v>49</v>
      </c>
      <c r="F10" s="29" t="s">
        <v>32</v>
      </c>
      <c r="G10" s="30" t="n">
        <v>0.2062357476</v>
      </c>
      <c r="H10" s="30" t="n">
        <v>0.3953479862</v>
      </c>
      <c r="I10" s="30" t="n">
        <v>0.3984162662</v>
      </c>
    </row>
    <row r="11" customFormat="false" ht="15" hidden="false" customHeight="false" outlineLevel="0" collapsed="false">
      <c r="A11" s="23" t="s">
        <v>68</v>
      </c>
      <c r="B11" s="24" t="n">
        <v>4247.81</v>
      </c>
      <c r="F11" s="26" t="s">
        <v>33</v>
      </c>
      <c r="G11" s="27" t="n">
        <v>0.191170564</v>
      </c>
      <c r="H11" s="27" t="n">
        <v>0.4136986627</v>
      </c>
      <c r="I11" s="27" t="n">
        <v>0.3951307733</v>
      </c>
    </row>
    <row r="12" customFormat="false" ht="15" hidden="false" customHeight="false" outlineLevel="0" collapsed="false">
      <c r="A12" s="23" t="s">
        <v>69</v>
      </c>
      <c r="B12" s="34" t="s">
        <v>27</v>
      </c>
      <c r="F12" s="29" t="s">
        <v>34</v>
      </c>
      <c r="G12" s="30" t="n">
        <v>0.2322026191</v>
      </c>
      <c r="H12" s="30" t="n">
        <v>0.3767796681</v>
      </c>
      <c r="I12" s="30" t="n">
        <v>0.3910177127</v>
      </c>
    </row>
    <row r="13" customFormat="false" ht="15" hidden="false" customHeight="false" outlineLevel="0" collapsed="false">
      <c r="A13" s="23" t="s">
        <v>70</v>
      </c>
      <c r="B13" s="24" t="n">
        <v>2004.6</v>
      </c>
      <c r="F13" s="26" t="s">
        <v>35</v>
      </c>
      <c r="G13" s="27" t="n">
        <v>0.1924029928</v>
      </c>
      <c r="H13" s="27" t="n">
        <v>0.4803490224</v>
      </c>
      <c r="I13" s="27" t="n">
        <v>0.3272479848</v>
      </c>
    </row>
    <row r="14" customFormat="false" ht="15" hidden="false" customHeight="false" outlineLevel="0" collapsed="false">
      <c r="A14" s="32"/>
      <c r="B14" s="33"/>
      <c r="F14" s="29" t="s">
        <v>36</v>
      </c>
      <c r="G14" s="30" t="n">
        <v>0.2369315188</v>
      </c>
      <c r="H14" s="30" t="n">
        <v>0.398337997</v>
      </c>
      <c r="I14" s="30" t="n">
        <v>0.3647304842</v>
      </c>
    </row>
    <row r="15" customFormat="false" ht="15" hidden="false" customHeight="false" outlineLevel="0" collapsed="false">
      <c r="A15" s="23" t="s">
        <v>71</v>
      </c>
      <c r="B15" s="24" t="n">
        <v>30719.34</v>
      </c>
      <c r="F15" s="26" t="s">
        <v>37</v>
      </c>
      <c r="G15" s="27" t="n">
        <v>0.2560620018</v>
      </c>
      <c r="H15" s="27" t="n">
        <v>0.36747094</v>
      </c>
      <c r="I15" s="27" t="n">
        <v>0.3764670583</v>
      </c>
    </row>
    <row r="16" customFormat="false" ht="15" hidden="false" customHeight="false" outlineLevel="0" collapsed="false">
      <c r="A16" s="23" t="s">
        <v>72</v>
      </c>
      <c r="B16" s="24" t="n">
        <v>12188.06</v>
      </c>
      <c r="F16" s="29" t="s">
        <v>38</v>
      </c>
      <c r="G16" s="30" t="n">
        <v>0.2821141117</v>
      </c>
      <c r="H16" s="30" t="n">
        <v>0.2908690691</v>
      </c>
      <c r="I16" s="30" t="n">
        <v>0.4270168191</v>
      </c>
    </row>
    <row r="17" customFormat="false" ht="15" hidden="false" customHeight="false" outlineLevel="0" collapsed="false">
      <c r="A17" s="32"/>
      <c r="B17" s="33"/>
      <c r="F17" s="26" t="s">
        <v>39</v>
      </c>
      <c r="G17" s="27" t="n">
        <v>0.2773537002</v>
      </c>
      <c r="H17" s="27" t="n">
        <v>0.2779930471</v>
      </c>
      <c r="I17" s="27" t="n">
        <v>0.4446532527</v>
      </c>
    </row>
    <row r="18" customFormat="false" ht="15" hidden="false" customHeight="false" outlineLevel="0" collapsed="false">
      <c r="A18" s="23" t="s">
        <v>73</v>
      </c>
      <c r="B18" s="35" t="n">
        <v>0.4429532015</v>
      </c>
      <c r="F18" s="29" t="s">
        <v>40</v>
      </c>
      <c r="G18" s="30" t="n">
        <v>0.2835712945</v>
      </c>
      <c r="H18" s="30" t="n">
        <v>0.2768820239</v>
      </c>
      <c r="I18" s="30" t="n">
        <v>0.4395466817</v>
      </c>
    </row>
    <row r="19" customFormat="false" ht="15" hidden="false" customHeight="false" outlineLevel="0" collapsed="false">
      <c r="A19" s="23" t="s">
        <v>74</v>
      </c>
      <c r="B19" s="35" t="n">
        <v>0.1225456016</v>
      </c>
      <c r="F19" s="26" t="s">
        <v>41</v>
      </c>
      <c r="G19" s="27" t="n">
        <v>0.2360838602</v>
      </c>
      <c r="H19" s="27" t="n">
        <v>0.2983777213</v>
      </c>
      <c r="I19" s="27" t="n">
        <v>0.4655384186</v>
      </c>
    </row>
    <row r="20" customFormat="false" ht="15" hidden="false" customHeight="false" outlineLevel="0" collapsed="false">
      <c r="A20" s="23" t="s">
        <v>75</v>
      </c>
      <c r="B20" s="35" t="n">
        <v>0.434501197</v>
      </c>
      <c r="F20" s="29" t="s">
        <v>42</v>
      </c>
      <c r="G20" s="30" t="n">
        <v>0.2935659857</v>
      </c>
      <c r="H20" s="30" t="n">
        <v>0.2601189967</v>
      </c>
      <c r="I20" s="30" t="n">
        <v>0.4463150176</v>
      </c>
    </row>
    <row r="21" customFormat="false" ht="15" hidden="false" customHeight="false" outlineLevel="0" collapsed="false">
      <c r="A21" s="32"/>
      <c r="B21" s="33"/>
      <c r="F21" s="26" t="s">
        <v>43</v>
      </c>
      <c r="G21" s="27" t="n">
        <v>0.2983457639</v>
      </c>
      <c r="H21" s="27" t="n">
        <v>0.2917271478</v>
      </c>
      <c r="I21" s="27" t="n">
        <v>0.4099270883</v>
      </c>
    </row>
    <row r="22" customFormat="false" ht="15" hidden="false" customHeight="false" outlineLevel="0" collapsed="false">
      <c r="A22" s="23" t="s">
        <v>76</v>
      </c>
      <c r="B22" s="35" t="n">
        <v>0.5648567645</v>
      </c>
      <c r="F22" s="29" t="s">
        <v>44</v>
      </c>
      <c r="G22" s="30" t="n">
        <v>0.3087494988</v>
      </c>
      <c r="H22" s="30" t="n">
        <v>0.2826254402</v>
      </c>
      <c r="I22" s="30" t="n">
        <v>0.4086250609</v>
      </c>
    </row>
    <row r="23" customFormat="false" ht="15" hidden="false" customHeight="false" outlineLevel="0" collapsed="false">
      <c r="F23" s="26" t="s">
        <v>45</v>
      </c>
      <c r="G23" s="27" t="n">
        <v>0.2833782236</v>
      </c>
      <c r="H23" s="27" t="n">
        <v>0.2928007163</v>
      </c>
      <c r="I23" s="27" t="n">
        <v>0.4238210601</v>
      </c>
    </row>
    <row r="24" customFormat="false" ht="15" hidden="false" customHeight="false" outlineLevel="0" collapsed="false">
      <c r="F24" s="29" t="s">
        <v>46</v>
      </c>
      <c r="G24" s="30" t="n">
        <v>0.3095169439</v>
      </c>
      <c r="H24" s="30" t="n">
        <v>0.262669826</v>
      </c>
      <c r="I24" s="30" t="n">
        <v>0.42781323</v>
      </c>
    </row>
    <row r="25" customFormat="false" ht="15" hidden="false" customHeight="false" outlineLevel="0" collapsed="false">
      <c r="F25" s="26" t="s">
        <v>47</v>
      </c>
      <c r="G25" s="27" t="n">
        <v>0.2853222058</v>
      </c>
      <c r="H25" s="27" t="n">
        <v>0.2274734605</v>
      </c>
      <c r="I25" s="27" t="n">
        <v>0.4872043337</v>
      </c>
    </row>
    <row r="26" customFormat="false" ht="15" hidden="false" customHeight="false" outlineLevel="0" collapsed="false">
      <c r="F26" s="29" t="s">
        <v>48</v>
      </c>
      <c r="G26" s="30" t="n">
        <v>0.3526292403</v>
      </c>
      <c r="H26" s="30" t="n">
        <v>0.1922723345</v>
      </c>
      <c r="I26" s="30" t="n">
        <v>0.4550984252</v>
      </c>
    </row>
    <row r="27" customFormat="false" ht="15" hidden="false" customHeight="false" outlineLevel="0" collapsed="false">
      <c r="F27" s="26" t="s">
        <v>49</v>
      </c>
      <c r="G27" s="27" t="n">
        <v>0.3586213742</v>
      </c>
      <c r="H27" s="27" t="n">
        <v>0.1748037377</v>
      </c>
      <c r="I27" s="27" t="n">
        <v>0.4665748882</v>
      </c>
    </row>
    <row r="28" customFormat="false" ht="15" hidden="false" customHeight="false" outlineLevel="0" collapsed="false">
      <c r="F28" s="29" t="s">
        <v>50</v>
      </c>
      <c r="G28" s="30" t="n">
        <v>0.4429532015</v>
      </c>
      <c r="H28" s="30" t="n">
        <v>0.1225456016</v>
      </c>
      <c r="I28" s="30" t="n">
        <v>0.434501197</v>
      </c>
    </row>
    <row r="50" customFormat="false" ht="15" hidden="false" customHeight="false" outlineLevel="0" collapsed="false">
      <c r="A50" s="22" t="s">
        <v>77</v>
      </c>
      <c r="B50" s="22" t="s">
        <v>78</v>
      </c>
    </row>
    <row r="51" customFormat="false" ht="15" hidden="false" customHeight="false" outlineLevel="0" collapsed="false">
      <c r="A51" s="0" t="s">
        <v>10</v>
      </c>
      <c r="B51" s="0" t="n">
        <v>2415.52</v>
      </c>
    </row>
    <row r="52" customFormat="false" ht="15" hidden="false" customHeight="false" outlineLevel="0" collapsed="false">
      <c r="A52" s="0" t="s">
        <v>11</v>
      </c>
      <c r="B52" s="0" t="n">
        <v>1349</v>
      </c>
    </row>
    <row r="53" customFormat="false" ht="15" hidden="false" customHeight="false" outlineLevel="0" collapsed="false">
      <c r="A53" s="0" t="s">
        <v>12</v>
      </c>
      <c r="B53" s="0" t="n">
        <v>2000</v>
      </c>
    </row>
    <row r="54" customFormat="false" ht="15" hidden="false" customHeight="false" outlineLevel="0" collapsed="false">
      <c r="A54" s="0" t="s">
        <v>13</v>
      </c>
      <c r="B54" s="0" t="n">
        <v>6952.86</v>
      </c>
    </row>
    <row r="55" customFormat="false" ht="15" hidden="false" customHeight="false" outlineLevel="0" collapsed="false">
      <c r="A55" s="0" t="s">
        <v>14</v>
      </c>
      <c r="B55" s="0" t="n">
        <v>1017.83</v>
      </c>
    </row>
    <row r="56" customFormat="false" ht="15" hidden="false" customHeight="false" outlineLevel="0" collapsed="false">
      <c r="A56" s="0" t="s">
        <v>15</v>
      </c>
      <c r="B56" s="0" t="n">
        <v>8353</v>
      </c>
    </row>
    <row r="57" customFormat="false" ht="15" hidden="false" customHeight="false" outlineLevel="0" collapsed="false">
      <c r="A57" s="0" t="s">
        <v>16</v>
      </c>
      <c r="B57" s="0" t="n">
        <v>4498</v>
      </c>
    </row>
    <row r="58" customFormat="false" ht="15" hidden="false" customHeight="false" outlineLevel="0" collapsed="false">
      <c r="A58" s="0" t="s">
        <v>17</v>
      </c>
      <c r="B58" s="0" t="n">
        <v>298.55</v>
      </c>
    </row>
    <row r="59" customFormat="false" ht="15" hidden="false" customHeight="false" outlineLevel="0" collapsed="false">
      <c r="A59" s="0" t="s">
        <v>18</v>
      </c>
      <c r="B59" s="0" t="n">
        <v>3239.76</v>
      </c>
    </row>
    <row r="60" customFormat="false" ht="15" hidden="false" customHeight="false" outlineLevel="0" collapsed="false">
      <c r="A60" s="0" t="s">
        <v>19</v>
      </c>
      <c r="B60" s="0" t="n">
        <v>98.23</v>
      </c>
    </row>
    <row r="61" customFormat="false" ht="15" hidden="false" customHeight="false" outlineLevel="0" collapsed="false">
      <c r="A61" s="0" t="s">
        <v>20</v>
      </c>
      <c r="B61" s="0" t="n">
        <v>496.59</v>
      </c>
    </row>
  </sheetData>
  <mergeCells count="3">
    <mergeCell ref="A1:H1"/>
    <mergeCell ref="A3:D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5" min="1" style="0" width="18"/>
  </cols>
  <sheetData>
    <row r="1" customFormat="false" ht="15" hidden="false" customHeight="false" outlineLevel="0" collapsed="false">
      <c r="A1" s="36" t="s">
        <v>9</v>
      </c>
      <c r="B1" s="36" t="s">
        <v>10</v>
      </c>
      <c r="C1" s="36" t="s">
        <v>11</v>
      </c>
      <c r="D1" s="36" t="s">
        <v>79</v>
      </c>
      <c r="E1" s="36" t="s">
        <v>80</v>
      </c>
      <c r="F1" s="36" t="s">
        <v>81</v>
      </c>
      <c r="G1" s="36" t="s">
        <v>82</v>
      </c>
      <c r="H1" s="36" t="s">
        <v>83</v>
      </c>
      <c r="I1" s="36" t="s">
        <v>84</v>
      </c>
      <c r="J1" s="36" t="s">
        <v>85</v>
      </c>
      <c r="K1" s="36" t="s">
        <v>86</v>
      </c>
      <c r="L1" s="36" t="s">
        <v>87</v>
      </c>
      <c r="M1" s="36" t="s">
        <v>3</v>
      </c>
      <c r="N1" s="36" t="s">
        <v>88</v>
      </c>
      <c r="O1" s="36" t="s">
        <v>89</v>
      </c>
      <c r="P1" s="36" t="s">
        <v>4</v>
      </c>
      <c r="Q1" s="36" t="s">
        <v>23</v>
      </c>
      <c r="R1" s="36" t="s">
        <v>90</v>
      </c>
      <c r="S1" s="36" t="s">
        <v>91</v>
      </c>
      <c r="T1" s="36" t="s">
        <v>92</v>
      </c>
      <c r="U1" s="36" t="s">
        <v>93</v>
      </c>
      <c r="V1" s="36" t="s">
        <v>25</v>
      </c>
      <c r="W1" s="36" t="s">
        <v>94</v>
      </c>
      <c r="X1" s="36" t="s">
        <v>95</v>
      </c>
      <c r="Y1" s="36" t="s">
        <v>96</v>
      </c>
    </row>
    <row r="2" customFormat="false" ht="15" hidden="false" customHeight="false" outlineLevel="0" collapsed="false">
      <c r="A2" s="29" t="s">
        <v>27</v>
      </c>
      <c r="B2" s="29" t="n">
        <v>2439.73</v>
      </c>
      <c r="C2" s="29" t="n">
        <v>4282</v>
      </c>
      <c r="D2" s="29" t="n">
        <v>600</v>
      </c>
      <c r="E2" s="29" t="n">
        <v>715.52</v>
      </c>
      <c r="F2" s="29" t="n">
        <v>409.29</v>
      </c>
      <c r="G2" s="29" t="n">
        <v>4760</v>
      </c>
      <c r="H2" s="29" t="n">
        <v>155.62</v>
      </c>
      <c r="I2" s="29" t="n">
        <v>636</v>
      </c>
      <c r="J2" s="29"/>
      <c r="K2" s="29"/>
      <c r="L2" s="29"/>
      <c r="M2" s="29" t="n">
        <v>2360.81</v>
      </c>
      <c r="N2" s="29" t="n">
        <v>6721.73</v>
      </c>
      <c r="O2" s="29" t="n">
        <v>4915.62</v>
      </c>
      <c r="P2" s="29" t="n">
        <v>11637.35</v>
      </c>
      <c r="Q2" s="29" t="n">
        <v>13998.16</v>
      </c>
      <c r="R2" s="29" t="n">
        <v>48.01866817</v>
      </c>
      <c r="S2" s="29" t="n">
        <v>35.1161867</v>
      </c>
      <c r="T2" s="29" t="n">
        <v>16.86514513</v>
      </c>
      <c r="U2" s="29" t="n">
        <v>83.13485487</v>
      </c>
      <c r="V2" s="29" t="n">
        <v>2004.6</v>
      </c>
      <c r="W2" s="29" t="e">
        <f aca="false">#VALUE!</f>
        <v>#VALUE!</v>
      </c>
      <c r="X2" s="29" t="e">
        <f aca="false">#VALUE!</f>
        <v>#VALUE!</v>
      </c>
      <c r="Y2" s="29" t="n">
        <v>19.62827164</v>
      </c>
    </row>
    <row r="3" customFormat="false" ht="15" hidden="false" customHeight="false" outlineLevel="0" collapsed="false">
      <c r="A3" s="29" t="s">
        <v>28</v>
      </c>
      <c r="B3" s="29" t="n">
        <v>2871.27</v>
      </c>
      <c r="C3" s="29" t="n">
        <v>4940</v>
      </c>
      <c r="D3" s="29" t="n">
        <v>800</v>
      </c>
      <c r="E3" s="29" t="n">
        <v>1566.76</v>
      </c>
      <c r="F3" s="29" t="n">
        <v>299.29</v>
      </c>
      <c r="G3" s="29" t="n">
        <v>4908</v>
      </c>
      <c r="H3" s="29" t="n">
        <v>161.82</v>
      </c>
      <c r="I3" s="29" t="n">
        <v>420</v>
      </c>
      <c r="J3" s="29"/>
      <c r="K3" s="29"/>
      <c r="L3" s="29"/>
      <c r="M3" s="29" t="n">
        <v>3086.05</v>
      </c>
      <c r="N3" s="29" t="n">
        <v>7811.27</v>
      </c>
      <c r="O3" s="29" t="n">
        <v>5069.82</v>
      </c>
      <c r="P3" s="29" t="n">
        <v>12881.09</v>
      </c>
      <c r="Q3" s="29" t="n">
        <v>15967.14</v>
      </c>
      <c r="R3" s="29" t="n">
        <v>48.92090882</v>
      </c>
      <c r="S3" s="29" t="n">
        <v>31.75158482</v>
      </c>
      <c r="T3" s="29" t="n">
        <v>19.32750637</v>
      </c>
      <c r="U3" s="29" t="n">
        <v>80.67249363</v>
      </c>
      <c r="V3" s="29" t="n">
        <v>2943.35</v>
      </c>
      <c r="W3" s="29" t="n">
        <v>1968.98</v>
      </c>
      <c r="X3" s="29" t="n">
        <v>879.44</v>
      </c>
      <c r="Y3" s="29" t="n">
        <v>17.47470286</v>
      </c>
    </row>
    <row r="4" customFormat="false" ht="15" hidden="false" customHeight="false" outlineLevel="0" collapsed="false">
      <c r="A4" s="29" t="s">
        <v>29</v>
      </c>
      <c r="B4" s="29" t="n">
        <v>2789.39</v>
      </c>
      <c r="C4" s="29" t="n">
        <v>4488</v>
      </c>
      <c r="D4" s="29" t="n">
        <v>800</v>
      </c>
      <c r="E4" s="29" t="n">
        <v>294.88</v>
      </c>
      <c r="F4" s="29" t="n">
        <v>409.29</v>
      </c>
      <c r="G4" s="29" t="n">
        <v>4848</v>
      </c>
      <c r="H4" s="29" t="n">
        <v>159.23</v>
      </c>
      <c r="I4" s="29" t="n">
        <v>133.6</v>
      </c>
      <c r="J4" s="29"/>
      <c r="K4" s="29"/>
      <c r="L4" s="29"/>
      <c r="M4" s="29" t="n">
        <v>1637.77</v>
      </c>
      <c r="N4" s="29" t="n">
        <v>7277.39</v>
      </c>
      <c r="O4" s="29" t="n">
        <v>5007.23</v>
      </c>
      <c r="P4" s="29" t="n">
        <v>12284.62</v>
      </c>
      <c r="Q4" s="29" t="n">
        <v>13922.39</v>
      </c>
      <c r="R4" s="29" t="n">
        <v>52.27112586</v>
      </c>
      <c r="S4" s="29" t="n">
        <v>35.96530481</v>
      </c>
      <c r="T4" s="29" t="n">
        <v>11.76356933</v>
      </c>
      <c r="U4" s="29" t="n">
        <v>88.23643067</v>
      </c>
      <c r="V4" s="29" t="n">
        <v>3110.83</v>
      </c>
      <c r="W4" s="29" t="n">
        <v>-2044.75</v>
      </c>
      <c r="X4" s="29" t="n">
        <v>-1510.87</v>
      </c>
      <c r="Y4" s="29" t="n">
        <v>8.774560701</v>
      </c>
    </row>
    <row r="5" customFormat="false" ht="15" hidden="false" customHeight="false" outlineLevel="0" collapsed="false">
      <c r="A5" s="29" t="s">
        <v>30</v>
      </c>
      <c r="B5" s="29" t="n">
        <v>2149.32</v>
      </c>
      <c r="C5" s="29" t="n">
        <v>3357</v>
      </c>
      <c r="D5" s="29" t="n">
        <v>1000</v>
      </c>
      <c r="E5" s="29" t="n">
        <v>128.64</v>
      </c>
      <c r="F5" s="29" t="n">
        <v>245.78</v>
      </c>
      <c r="G5" s="29" t="n">
        <v>4935</v>
      </c>
      <c r="H5" s="29" t="n">
        <v>162.22</v>
      </c>
      <c r="I5" s="29" t="n">
        <v>210.1</v>
      </c>
      <c r="J5" s="29"/>
      <c r="K5" s="29"/>
      <c r="L5" s="29"/>
      <c r="M5" s="29" t="n">
        <v>1584.52</v>
      </c>
      <c r="N5" s="29" t="n">
        <v>5506.32</v>
      </c>
      <c r="O5" s="29" t="n">
        <v>5097.22</v>
      </c>
      <c r="P5" s="29" t="n">
        <v>10603.54</v>
      </c>
      <c r="Q5" s="29" t="n">
        <v>12188.06</v>
      </c>
      <c r="R5" s="29" t="n">
        <v>45.17798567</v>
      </c>
      <c r="S5" s="29" t="n">
        <v>41.82142195</v>
      </c>
      <c r="T5" s="29" t="n">
        <v>13.00059238</v>
      </c>
      <c r="U5" s="29" t="n">
        <v>86.99940762</v>
      </c>
      <c r="V5" s="29" t="n">
        <v>3128</v>
      </c>
      <c r="W5" s="29" t="n">
        <v>-1734.33</v>
      </c>
      <c r="X5" s="29" t="n">
        <v>36.74</v>
      </c>
      <c r="Y5" s="29" t="n">
        <v>8.442668372</v>
      </c>
    </row>
    <row r="6" customFormat="false" ht="15" hidden="false" customHeight="false" outlineLevel="0" collapsed="false">
      <c r="A6" s="29" t="s">
        <v>31</v>
      </c>
      <c r="B6" s="29" t="n">
        <v>2666.84</v>
      </c>
      <c r="C6" s="29" t="n">
        <v>3399</v>
      </c>
      <c r="D6" s="29" t="n">
        <v>1200</v>
      </c>
      <c r="E6" s="29" t="n">
        <v>1116.97</v>
      </c>
      <c r="F6" s="29" t="n">
        <v>87.78</v>
      </c>
      <c r="G6" s="29" t="n">
        <v>4989</v>
      </c>
      <c r="H6" s="29" t="n">
        <v>163.26</v>
      </c>
      <c r="I6" s="29" t="n">
        <v>109.67</v>
      </c>
      <c r="J6" s="29"/>
      <c r="K6" s="29"/>
      <c r="L6" s="29"/>
      <c r="M6" s="29" t="n">
        <v>2514.42</v>
      </c>
      <c r="N6" s="29" t="n">
        <v>6065.84</v>
      </c>
      <c r="O6" s="29" t="n">
        <v>5152.26</v>
      </c>
      <c r="P6" s="29" t="n">
        <v>11218.1</v>
      </c>
      <c r="Q6" s="29" t="n">
        <v>13732.52</v>
      </c>
      <c r="R6" s="29" t="n">
        <v>44.17135384</v>
      </c>
      <c r="S6" s="29" t="n">
        <v>37.51867829</v>
      </c>
      <c r="T6" s="29" t="n">
        <v>18.30996787</v>
      </c>
      <c r="U6" s="29" t="n">
        <v>81.69003213</v>
      </c>
      <c r="V6" s="29" t="n">
        <v>2869.26</v>
      </c>
      <c r="W6" s="29" t="n">
        <v>1544.46</v>
      </c>
      <c r="X6" s="29" t="n">
        <v>984.94</v>
      </c>
      <c r="Y6" s="29" t="n">
        <v>14.60550804</v>
      </c>
    </row>
    <row r="7" customFormat="false" ht="15" hidden="false" customHeight="false" outlineLevel="0" collapsed="false">
      <c r="A7" s="29" t="s">
        <v>32</v>
      </c>
      <c r="B7" s="29" t="n">
        <v>2255.98</v>
      </c>
      <c r="C7" s="29" t="n">
        <v>2822</v>
      </c>
      <c r="D7" s="29" t="n">
        <v>1400</v>
      </c>
      <c r="E7" s="29" t="n">
        <v>1100.53</v>
      </c>
      <c r="F7" s="29" t="n">
        <v>61.43</v>
      </c>
      <c r="G7" s="29" t="n">
        <v>4954</v>
      </c>
      <c r="H7" s="29" t="n">
        <v>163.39</v>
      </c>
      <c r="I7" s="29" t="n">
        <v>87</v>
      </c>
      <c r="J7" s="29"/>
      <c r="K7" s="29"/>
      <c r="L7" s="29"/>
      <c r="M7" s="29" t="n">
        <v>2648.96</v>
      </c>
      <c r="N7" s="29" t="n">
        <v>5077.98</v>
      </c>
      <c r="O7" s="29" t="n">
        <v>5117.39</v>
      </c>
      <c r="P7" s="29" t="n">
        <v>10195.37</v>
      </c>
      <c r="Q7" s="29" t="n">
        <v>12844.33</v>
      </c>
      <c r="R7" s="29" t="n">
        <v>39.53479862</v>
      </c>
      <c r="S7" s="29" t="n">
        <v>39.84162662</v>
      </c>
      <c r="T7" s="29" t="n">
        <v>20.62357476</v>
      </c>
      <c r="U7" s="29" t="n">
        <v>79.37642524</v>
      </c>
      <c r="V7" s="29" t="n">
        <v>3183.81</v>
      </c>
      <c r="W7" s="29" t="n">
        <v>-888.19</v>
      </c>
      <c r="X7" s="29" t="n">
        <v>99.67</v>
      </c>
      <c r="Y7" s="29" t="n">
        <v>13.86682413</v>
      </c>
    </row>
    <row r="8" customFormat="false" ht="15" hidden="false" customHeight="false" outlineLevel="0" collapsed="false">
      <c r="A8" s="29" t="s">
        <v>33</v>
      </c>
      <c r="B8" s="29" t="n">
        <v>2482.31</v>
      </c>
      <c r="C8" s="29" t="n">
        <v>3090</v>
      </c>
      <c r="D8" s="29" t="n">
        <v>1600</v>
      </c>
      <c r="E8" s="29" t="n">
        <v>426.27</v>
      </c>
      <c r="F8" s="29" t="n">
        <v>37.7</v>
      </c>
      <c r="G8" s="29" t="n">
        <v>5154</v>
      </c>
      <c r="H8" s="29" t="n">
        <v>168.21</v>
      </c>
      <c r="I8" s="29" t="n">
        <v>319</v>
      </c>
      <c r="J8" s="29"/>
      <c r="K8" s="29" t="n">
        <v>192</v>
      </c>
      <c r="L8" s="29"/>
      <c r="M8" s="29" t="n">
        <v>2574.97</v>
      </c>
      <c r="N8" s="29" t="n">
        <v>5572.31</v>
      </c>
      <c r="O8" s="29" t="n">
        <v>5322.21</v>
      </c>
      <c r="P8" s="29" t="n">
        <v>10894.52</v>
      </c>
      <c r="Q8" s="29" t="n">
        <v>13469.49</v>
      </c>
      <c r="R8" s="29" t="n">
        <v>41.36986627</v>
      </c>
      <c r="S8" s="29" t="n">
        <v>39.51307733</v>
      </c>
      <c r="T8" s="29" t="n">
        <v>19.1170564</v>
      </c>
      <c r="U8" s="29" t="n">
        <v>80.8829436</v>
      </c>
      <c r="V8" s="29" t="n">
        <v>3265.7</v>
      </c>
      <c r="W8" s="29" t="n">
        <v>625.16</v>
      </c>
      <c r="X8" s="29" t="n">
        <v>130.83</v>
      </c>
      <c r="Y8" s="29" t="n">
        <v>13.14149085</v>
      </c>
    </row>
    <row r="9" customFormat="false" ht="15" hidden="false" customHeight="false" outlineLevel="0" collapsed="false">
      <c r="A9" s="29" t="s">
        <v>34</v>
      </c>
      <c r="B9" s="29" t="n">
        <v>2449.99</v>
      </c>
      <c r="C9" s="29" t="n">
        <v>2936</v>
      </c>
      <c r="D9" s="29" t="n">
        <v>1600</v>
      </c>
      <c r="E9" s="29" t="n">
        <v>1005.41</v>
      </c>
      <c r="F9" s="29" t="n">
        <v>32.07</v>
      </c>
      <c r="G9" s="29" t="n">
        <v>5321</v>
      </c>
      <c r="H9" s="29" t="n">
        <v>268.52</v>
      </c>
      <c r="I9" s="29" t="n">
        <v>23.05</v>
      </c>
      <c r="J9" s="29" t="n">
        <v>200.22</v>
      </c>
      <c r="K9" s="29" t="n">
        <v>458.54</v>
      </c>
      <c r="L9" s="29"/>
      <c r="M9" s="29" t="n">
        <v>3319.29</v>
      </c>
      <c r="N9" s="29" t="n">
        <v>5385.99</v>
      </c>
      <c r="O9" s="29" t="n">
        <v>5589.52</v>
      </c>
      <c r="P9" s="29" t="n">
        <v>10975.51</v>
      </c>
      <c r="Q9" s="29" t="n">
        <v>14294.8</v>
      </c>
      <c r="R9" s="29" t="n">
        <v>37.67796681</v>
      </c>
      <c r="S9" s="29" t="n">
        <v>39.10177127</v>
      </c>
      <c r="T9" s="29" t="n">
        <v>23.22026191</v>
      </c>
      <c r="U9" s="29" t="n">
        <v>76.77973809</v>
      </c>
      <c r="V9" s="29" t="n">
        <v>3171.01</v>
      </c>
      <c r="W9" s="29" t="n">
        <v>825.31</v>
      </c>
      <c r="X9" s="29" t="n">
        <v>1011.63</v>
      </c>
      <c r="Y9" s="29" t="n">
        <v>17.44601878</v>
      </c>
    </row>
    <row r="10" customFormat="false" ht="15" hidden="false" customHeight="false" outlineLevel="0" collapsed="false">
      <c r="A10" s="29" t="s">
        <v>35</v>
      </c>
      <c r="B10" s="29" t="n">
        <v>3681.53</v>
      </c>
      <c r="C10" s="29" t="n">
        <v>5616</v>
      </c>
      <c r="D10" s="29" t="n">
        <v>1600</v>
      </c>
      <c r="E10" s="29" t="n">
        <v>437.79</v>
      </c>
      <c r="F10" s="29" t="n">
        <v>314.15</v>
      </c>
      <c r="G10" s="29" t="n">
        <v>5649</v>
      </c>
      <c r="H10" s="29" t="n">
        <v>426.27</v>
      </c>
      <c r="I10" s="29" t="n">
        <v>42.89</v>
      </c>
      <c r="J10" s="29" t="n">
        <v>401.04</v>
      </c>
      <c r="K10" s="29" t="n">
        <v>928.24</v>
      </c>
      <c r="L10" s="29" t="n">
        <v>258.87</v>
      </c>
      <c r="M10" s="29" t="n">
        <v>3724.11</v>
      </c>
      <c r="N10" s="29" t="n">
        <v>9297.53</v>
      </c>
      <c r="O10" s="29" t="n">
        <v>6334.14</v>
      </c>
      <c r="P10" s="29" t="n">
        <v>15631.67</v>
      </c>
      <c r="Q10" s="29" t="n">
        <v>19355.78</v>
      </c>
      <c r="R10" s="29" t="n">
        <v>48.03490224</v>
      </c>
      <c r="S10" s="29" t="n">
        <v>32.72479848</v>
      </c>
      <c r="T10" s="29" t="n">
        <v>19.24029928</v>
      </c>
      <c r="U10" s="29" t="n">
        <v>80.75970072</v>
      </c>
      <c r="V10" s="29" t="n">
        <v>3557.88</v>
      </c>
      <c r="W10" s="29" t="n">
        <v>5060.98</v>
      </c>
      <c r="X10" s="29" t="n">
        <v>1149.44</v>
      </c>
      <c r="Y10" s="29" t="n">
        <v>17.44536072</v>
      </c>
    </row>
    <row r="11" customFormat="false" ht="15" hidden="false" customHeight="false" outlineLevel="0" collapsed="false">
      <c r="A11" s="29" t="s">
        <v>36</v>
      </c>
      <c r="B11" s="29" t="n">
        <v>3363.66</v>
      </c>
      <c r="C11" s="29" t="n">
        <v>3932</v>
      </c>
      <c r="D11" s="29" t="n">
        <v>1600</v>
      </c>
      <c r="E11" s="29" t="n">
        <v>725.54</v>
      </c>
      <c r="F11" s="29" t="n">
        <v>301.67</v>
      </c>
      <c r="G11" s="29" t="n">
        <v>5698</v>
      </c>
      <c r="H11" s="29" t="n">
        <v>572.92</v>
      </c>
      <c r="I11" s="29" t="n">
        <v>49.19</v>
      </c>
      <c r="J11" s="29" t="n">
        <v>602.31</v>
      </c>
      <c r="K11" s="29" t="n">
        <v>1060.75</v>
      </c>
      <c r="L11" s="29" t="n">
        <v>409.21</v>
      </c>
      <c r="M11" s="29" t="n">
        <v>4339.46</v>
      </c>
      <c r="N11" s="29" t="n">
        <v>7295.66</v>
      </c>
      <c r="O11" s="29" t="n">
        <v>6680.13</v>
      </c>
      <c r="P11" s="29" t="n">
        <v>13975.79</v>
      </c>
      <c r="Q11" s="29" t="n">
        <v>18315.25</v>
      </c>
      <c r="R11" s="29" t="n">
        <v>39.8337997</v>
      </c>
      <c r="S11" s="29" t="n">
        <v>36.47304842</v>
      </c>
      <c r="T11" s="29" t="n">
        <v>23.69315188</v>
      </c>
      <c r="U11" s="29" t="n">
        <v>76.30684812</v>
      </c>
      <c r="V11" s="29" t="n">
        <v>3152.36</v>
      </c>
      <c r="W11" s="29" t="n">
        <v>-1040.53</v>
      </c>
      <c r="X11" s="29" t="n">
        <v>961.34</v>
      </c>
      <c r="Y11" s="29" t="n">
        <v>22.94291684</v>
      </c>
    </row>
    <row r="12" customFormat="false" ht="15" hidden="false" customHeight="false" outlineLevel="0" collapsed="false">
      <c r="A12" s="29" t="s">
        <v>37</v>
      </c>
      <c r="B12" s="29" t="n">
        <v>3503.13</v>
      </c>
      <c r="C12" s="29" t="n">
        <v>3490</v>
      </c>
      <c r="D12" s="29" t="n">
        <v>1600</v>
      </c>
      <c r="E12" s="29" t="n">
        <v>808.89</v>
      </c>
      <c r="F12" s="29" t="n">
        <v>505.51</v>
      </c>
      <c r="G12" s="29" t="n">
        <v>6011</v>
      </c>
      <c r="H12" s="29" t="n">
        <v>735.03</v>
      </c>
      <c r="I12" s="29" t="n">
        <v>83.26</v>
      </c>
      <c r="J12" s="29" t="n">
        <v>803.89</v>
      </c>
      <c r="K12" s="29" t="n">
        <v>1071.42</v>
      </c>
      <c r="L12" s="29" t="n">
        <v>418.3</v>
      </c>
      <c r="M12" s="29" t="n">
        <v>4872.97</v>
      </c>
      <c r="N12" s="29" t="n">
        <v>6993.13</v>
      </c>
      <c r="O12" s="29" t="n">
        <v>7164.33</v>
      </c>
      <c r="P12" s="29" t="n">
        <v>14157.46</v>
      </c>
      <c r="Q12" s="29" t="n">
        <v>19030.43</v>
      </c>
      <c r="R12" s="29" t="n">
        <v>36.747094</v>
      </c>
      <c r="S12" s="29" t="n">
        <v>37.64670583</v>
      </c>
      <c r="T12" s="29" t="n">
        <v>25.60620018</v>
      </c>
      <c r="U12" s="29" t="n">
        <v>74.39379982</v>
      </c>
      <c r="V12" s="29" t="n">
        <v>3210.78</v>
      </c>
      <c r="W12" s="29" t="n">
        <v>715.18</v>
      </c>
      <c r="X12" s="29" t="n">
        <v>1017.71</v>
      </c>
      <c r="Y12" s="29" t="n">
        <v>25.29484009</v>
      </c>
    </row>
    <row r="13" customFormat="false" ht="15" hidden="false" customHeight="false" outlineLevel="0" collapsed="false">
      <c r="A13" s="29" t="s">
        <v>38</v>
      </c>
      <c r="B13" s="29" t="n">
        <v>2726.19</v>
      </c>
      <c r="C13" s="29" t="n">
        <v>2352</v>
      </c>
      <c r="D13" s="29" t="n">
        <v>1600</v>
      </c>
      <c r="E13" s="29" t="n">
        <v>824.36</v>
      </c>
      <c r="F13" s="29" t="n">
        <v>388.5</v>
      </c>
      <c r="G13" s="29" t="n">
        <v>6157</v>
      </c>
      <c r="H13" s="29" t="n">
        <v>885.83</v>
      </c>
      <c r="I13" s="29" t="n">
        <v>154.98</v>
      </c>
      <c r="J13" s="29" t="n">
        <v>1005.86</v>
      </c>
      <c r="K13" s="29" t="n">
        <v>951.64</v>
      </c>
      <c r="L13" s="29" t="n">
        <v>412.32</v>
      </c>
      <c r="M13" s="29" t="n">
        <v>4925.34</v>
      </c>
      <c r="N13" s="29" t="n">
        <v>5078.19</v>
      </c>
      <c r="O13" s="29" t="n">
        <v>7455.15</v>
      </c>
      <c r="P13" s="29" t="n">
        <v>12533.34</v>
      </c>
      <c r="Q13" s="29" t="n">
        <v>17458.68</v>
      </c>
      <c r="R13" s="29" t="n">
        <v>29.08690691</v>
      </c>
      <c r="S13" s="29" t="n">
        <v>42.70168191</v>
      </c>
      <c r="T13" s="29" t="n">
        <v>28.21141117</v>
      </c>
      <c r="U13" s="29" t="n">
        <v>71.78858883</v>
      </c>
      <c r="V13" s="29" t="n">
        <v>3371.85</v>
      </c>
      <c r="W13" s="29" t="n">
        <v>-1571.75</v>
      </c>
      <c r="X13" s="29" t="n">
        <v>343.19</v>
      </c>
      <c r="Y13" s="29" t="n">
        <v>24.34538903</v>
      </c>
    </row>
    <row r="14" customFormat="false" ht="15" hidden="false" customHeight="false" outlineLevel="0" collapsed="false">
      <c r="A14" s="29" t="s">
        <v>39</v>
      </c>
      <c r="B14" s="29" t="n">
        <v>2571.14</v>
      </c>
      <c r="C14" s="29" t="n">
        <v>2090</v>
      </c>
      <c r="D14" s="29" t="n">
        <v>1600</v>
      </c>
      <c r="E14" s="29" t="n">
        <v>274.31</v>
      </c>
      <c r="F14" s="29" t="n">
        <v>440.85</v>
      </c>
      <c r="G14" s="29" t="n">
        <v>5974</v>
      </c>
      <c r="H14" s="29" t="n">
        <v>1057.02</v>
      </c>
      <c r="I14" s="29" t="n">
        <v>107.68</v>
      </c>
      <c r="J14" s="29" t="n">
        <v>1208.23</v>
      </c>
      <c r="K14" s="29" t="n">
        <v>1019.35</v>
      </c>
      <c r="L14" s="29" t="n">
        <v>424.53</v>
      </c>
      <c r="M14" s="29" t="n">
        <v>4650.42</v>
      </c>
      <c r="N14" s="29" t="n">
        <v>4661.14</v>
      </c>
      <c r="O14" s="29" t="n">
        <v>7455.55</v>
      </c>
      <c r="P14" s="29" t="n">
        <v>12116.69</v>
      </c>
      <c r="Q14" s="29" t="n">
        <v>16767.11</v>
      </c>
      <c r="R14" s="29" t="n">
        <v>27.79930471</v>
      </c>
      <c r="S14" s="29" t="n">
        <v>44.46532527</v>
      </c>
      <c r="T14" s="29" t="n">
        <v>27.73537002</v>
      </c>
      <c r="U14" s="29" t="n">
        <v>72.26462998</v>
      </c>
      <c r="V14" s="29" t="n">
        <v>3123.17</v>
      </c>
      <c r="W14" s="29" t="n">
        <v>-691.57</v>
      </c>
      <c r="X14" s="29" t="n">
        <v>-274.52</v>
      </c>
      <c r="Y14" s="29" t="n">
        <v>24.8167727</v>
      </c>
    </row>
    <row r="15" customFormat="false" ht="15" hidden="false" customHeight="false" outlineLevel="0" collapsed="false">
      <c r="A15" s="29" t="s">
        <v>40</v>
      </c>
      <c r="B15" s="29" t="n">
        <v>2681.94</v>
      </c>
      <c r="C15" s="29" t="n">
        <v>2199</v>
      </c>
      <c r="D15" s="29" t="n">
        <v>1600</v>
      </c>
      <c r="E15" s="29" t="n">
        <v>676.81</v>
      </c>
      <c r="F15" s="29" t="n">
        <v>179.45</v>
      </c>
      <c r="G15" s="29" t="n">
        <v>5993</v>
      </c>
      <c r="H15" s="29" t="n">
        <v>1340.1</v>
      </c>
      <c r="I15" s="29" t="n">
        <v>25.91</v>
      </c>
      <c r="J15" s="29" t="n">
        <v>1411.03</v>
      </c>
      <c r="K15" s="29" t="n">
        <v>1105.66</v>
      </c>
      <c r="L15" s="29" t="n">
        <v>415.33</v>
      </c>
      <c r="M15" s="29" t="n">
        <v>4998.86</v>
      </c>
      <c r="N15" s="29" t="n">
        <v>4880.94</v>
      </c>
      <c r="O15" s="29" t="n">
        <v>7748.43</v>
      </c>
      <c r="P15" s="29" t="n">
        <v>12629.37</v>
      </c>
      <c r="Q15" s="29" t="n">
        <v>17628.23</v>
      </c>
      <c r="R15" s="29" t="n">
        <v>27.68820239</v>
      </c>
      <c r="S15" s="29" t="n">
        <v>43.95466817</v>
      </c>
      <c r="T15" s="29" t="n">
        <v>28.35712945</v>
      </c>
      <c r="U15" s="29" t="n">
        <v>71.64287055</v>
      </c>
      <c r="V15" s="29" t="n">
        <v>3628.68</v>
      </c>
      <c r="W15" s="29" t="n">
        <v>861.12</v>
      </c>
      <c r="X15" s="29" t="n">
        <v>641.32</v>
      </c>
      <c r="Y15" s="29" t="n">
        <v>22.95995605</v>
      </c>
    </row>
    <row r="16" customFormat="false" ht="15" hidden="false" customHeight="false" outlineLevel="0" collapsed="false">
      <c r="A16" s="29" t="s">
        <v>41</v>
      </c>
      <c r="B16" s="29" t="n">
        <v>3087.78</v>
      </c>
      <c r="C16" s="29" t="n">
        <v>2361</v>
      </c>
      <c r="D16" s="29" t="n">
        <v>710.6</v>
      </c>
      <c r="E16" s="29" t="n">
        <v>492.65</v>
      </c>
      <c r="F16" s="29" t="n">
        <v>316.19</v>
      </c>
      <c r="G16" s="29" t="n">
        <v>6350</v>
      </c>
      <c r="H16" s="29" t="n">
        <v>1712</v>
      </c>
      <c r="I16" s="29" t="n">
        <v>10.31</v>
      </c>
      <c r="J16" s="29" t="n">
        <v>1613.52</v>
      </c>
      <c r="K16" s="29" t="n">
        <v>1167.94</v>
      </c>
      <c r="L16" s="29" t="n">
        <v>439.36</v>
      </c>
      <c r="M16" s="29" t="n">
        <v>4311.21</v>
      </c>
      <c r="N16" s="29" t="n">
        <v>5448.78</v>
      </c>
      <c r="O16" s="29" t="n">
        <v>8501.36</v>
      </c>
      <c r="P16" s="29" t="n">
        <v>13950.14</v>
      </c>
      <c r="Q16" s="29" t="n">
        <v>18261.35</v>
      </c>
      <c r="R16" s="29" t="n">
        <v>29.83777213</v>
      </c>
      <c r="S16" s="29" t="n">
        <v>46.55384186</v>
      </c>
      <c r="T16" s="29" t="n">
        <v>23.60838602</v>
      </c>
      <c r="U16" s="29" t="n">
        <v>76.39161398</v>
      </c>
      <c r="V16" s="29" t="n">
        <v>3714.6</v>
      </c>
      <c r="W16" s="29" t="n">
        <v>633.12</v>
      </c>
      <c r="X16" s="29" t="n">
        <v>65.28</v>
      </c>
      <c r="Y16" s="29" t="n">
        <v>19.34353632</v>
      </c>
    </row>
    <row r="17" customFormat="false" ht="15" hidden="false" customHeight="false" outlineLevel="0" collapsed="false">
      <c r="A17" s="29" t="s">
        <v>42</v>
      </c>
      <c r="B17" s="29" t="n">
        <v>2815.51</v>
      </c>
      <c r="C17" s="29" t="n">
        <v>2321</v>
      </c>
      <c r="D17" s="29" t="n">
        <v>1705.24</v>
      </c>
      <c r="E17" s="29" t="n">
        <v>781.06</v>
      </c>
      <c r="F17" s="29" t="n">
        <v>469.34</v>
      </c>
      <c r="G17" s="29" t="n">
        <v>6465</v>
      </c>
      <c r="H17" s="29" t="n">
        <v>1908</v>
      </c>
      <c r="I17" s="29" t="n">
        <v>9</v>
      </c>
      <c r="J17" s="29" t="n">
        <v>1616.47</v>
      </c>
      <c r="K17" s="29" t="n">
        <v>1215.87</v>
      </c>
      <c r="L17" s="29" t="n">
        <v>440.28</v>
      </c>
      <c r="M17" s="29" t="n">
        <v>5796.98</v>
      </c>
      <c r="N17" s="29" t="n">
        <v>5136.51</v>
      </c>
      <c r="O17" s="29" t="n">
        <v>8813.28</v>
      </c>
      <c r="P17" s="29" t="n">
        <v>13949.79</v>
      </c>
      <c r="Q17" s="29" t="n">
        <v>19746.77</v>
      </c>
      <c r="R17" s="29" t="n">
        <v>26.01189967</v>
      </c>
      <c r="S17" s="29" t="n">
        <v>44.63150176</v>
      </c>
      <c r="T17" s="29" t="n">
        <v>29.35659857</v>
      </c>
      <c r="U17" s="29" t="n">
        <v>70.64340143</v>
      </c>
      <c r="V17" s="29" t="n">
        <v>3891.52</v>
      </c>
      <c r="W17" s="29" t="n">
        <v>1485.42</v>
      </c>
      <c r="X17" s="29" t="n">
        <v>1797.69</v>
      </c>
      <c r="Y17" s="29" t="n">
        <v>24.82740249</v>
      </c>
    </row>
    <row r="18" customFormat="false" ht="15" hidden="false" customHeight="false" outlineLevel="0" collapsed="false">
      <c r="A18" s="29" t="s">
        <v>43</v>
      </c>
      <c r="B18" s="29" t="n">
        <v>3629.23</v>
      </c>
      <c r="C18" s="29" t="n">
        <v>3003</v>
      </c>
      <c r="D18" s="29" t="n">
        <v>1707.23</v>
      </c>
      <c r="E18" s="29" t="n">
        <v>1245.39</v>
      </c>
      <c r="F18" s="29" t="n">
        <v>694.5</v>
      </c>
      <c r="G18" s="29" t="n">
        <v>6704</v>
      </c>
      <c r="H18" s="29" t="n">
        <v>2163</v>
      </c>
      <c r="I18" s="29" t="n">
        <v>47.95</v>
      </c>
      <c r="J18" s="29" t="n">
        <v>1818.84</v>
      </c>
      <c r="K18" s="29" t="n">
        <v>1268.79</v>
      </c>
      <c r="L18" s="29" t="n">
        <v>452.43</v>
      </c>
      <c r="M18" s="29" t="n">
        <v>6782.7</v>
      </c>
      <c r="N18" s="29" t="n">
        <v>6632.23</v>
      </c>
      <c r="O18" s="29" t="n">
        <v>9319.43</v>
      </c>
      <c r="P18" s="29" t="n">
        <v>15951.66</v>
      </c>
      <c r="Q18" s="29" t="n">
        <v>22734.36</v>
      </c>
      <c r="R18" s="29" t="n">
        <v>29.17271478</v>
      </c>
      <c r="S18" s="29" t="n">
        <v>40.99270883</v>
      </c>
      <c r="T18" s="29" t="n">
        <v>29.83457639</v>
      </c>
      <c r="U18" s="29" t="n">
        <v>70.16542361</v>
      </c>
      <c r="V18" s="29" t="n">
        <v>3918.17</v>
      </c>
      <c r="W18" s="29" t="n">
        <v>2987.59</v>
      </c>
      <c r="X18" s="29" t="n">
        <v>1491.87</v>
      </c>
      <c r="Y18" s="29" t="n">
        <v>28.85147913</v>
      </c>
    </row>
    <row r="19" customFormat="false" ht="15" hidden="false" customHeight="false" outlineLevel="0" collapsed="false">
      <c r="A19" s="29" t="s">
        <v>44</v>
      </c>
      <c r="B19" s="29" t="n">
        <v>3624.48</v>
      </c>
      <c r="C19" s="29" t="n">
        <v>3171</v>
      </c>
      <c r="D19" s="29" t="n">
        <v>1707.25</v>
      </c>
      <c r="E19" s="29" t="n">
        <v>1338.98</v>
      </c>
      <c r="F19" s="29" t="n">
        <v>977.81</v>
      </c>
      <c r="G19" s="29" t="n">
        <v>6929</v>
      </c>
      <c r="H19" s="29" t="n">
        <v>2437</v>
      </c>
      <c r="I19" s="29" t="n">
        <v>46.81</v>
      </c>
      <c r="J19" s="29" t="n">
        <v>2022.43</v>
      </c>
      <c r="K19" s="29" t="n">
        <v>1330.33</v>
      </c>
      <c r="L19" s="29" t="n">
        <v>459.03</v>
      </c>
      <c r="M19" s="29" t="n">
        <v>7423.61</v>
      </c>
      <c r="N19" s="29" t="n">
        <v>6795.48</v>
      </c>
      <c r="O19" s="29" t="n">
        <v>9825.03</v>
      </c>
      <c r="P19" s="29" t="n">
        <v>16620.51</v>
      </c>
      <c r="Q19" s="29" t="n">
        <v>24044.12</v>
      </c>
      <c r="R19" s="29" t="n">
        <v>28.26254402</v>
      </c>
      <c r="S19" s="29" t="n">
        <v>40.86250609</v>
      </c>
      <c r="T19" s="29" t="n">
        <v>30.87494988</v>
      </c>
      <c r="U19" s="29" t="n">
        <v>69.12505012</v>
      </c>
      <c r="V19" s="29" t="n">
        <v>3967.98</v>
      </c>
      <c r="W19" s="29" t="n">
        <v>1309.76</v>
      </c>
      <c r="X19" s="29" t="n">
        <v>1146.51</v>
      </c>
      <c r="Y19" s="29" t="n">
        <v>31.18131476</v>
      </c>
    </row>
    <row r="20" customFormat="false" ht="15" hidden="false" customHeight="false" outlineLevel="0" collapsed="false">
      <c r="A20" s="29" t="s">
        <v>45</v>
      </c>
      <c r="B20" s="29" t="n">
        <v>3911.93</v>
      </c>
      <c r="C20" s="29" t="n">
        <v>3289</v>
      </c>
      <c r="D20" s="29" t="n">
        <v>1944.27</v>
      </c>
      <c r="E20" s="29" t="n">
        <v>167.97</v>
      </c>
      <c r="F20" s="29" t="n">
        <v>1226.26</v>
      </c>
      <c r="G20" s="29" t="n">
        <v>7192</v>
      </c>
      <c r="H20" s="29" t="n">
        <v>2754</v>
      </c>
      <c r="I20" s="29" t="n">
        <v>25.74</v>
      </c>
      <c r="J20" s="29" t="n">
        <v>2225.55</v>
      </c>
      <c r="K20" s="29" t="n">
        <v>1379.41</v>
      </c>
      <c r="L20" s="29" t="n">
        <v>477.15</v>
      </c>
      <c r="M20" s="29" t="n">
        <v>6969.2</v>
      </c>
      <c r="N20" s="29" t="n">
        <v>7200.93</v>
      </c>
      <c r="O20" s="29" t="n">
        <v>10423.15</v>
      </c>
      <c r="P20" s="29" t="n">
        <v>17624.08</v>
      </c>
      <c r="Q20" s="29" t="n">
        <v>24593.28</v>
      </c>
      <c r="R20" s="29" t="n">
        <v>29.28007163</v>
      </c>
      <c r="S20" s="29" t="n">
        <v>42.38210601</v>
      </c>
      <c r="T20" s="29" t="n">
        <v>28.33782236</v>
      </c>
      <c r="U20" s="29" t="n">
        <v>71.66217764</v>
      </c>
      <c r="V20" s="29" t="n">
        <v>3492.38</v>
      </c>
      <c r="W20" s="29" t="n">
        <v>549.16</v>
      </c>
      <c r="X20" s="29" t="n">
        <v>143.71</v>
      </c>
      <c r="Y20" s="29" t="n">
        <v>33.25907643</v>
      </c>
    </row>
    <row r="21" customFormat="false" ht="15" hidden="false" customHeight="false" outlineLevel="0" collapsed="false">
      <c r="A21" s="29" t="s">
        <v>46</v>
      </c>
      <c r="B21" s="29" t="n">
        <v>3867.94</v>
      </c>
      <c r="C21" s="29" t="n">
        <v>3046</v>
      </c>
      <c r="D21" s="29" t="n">
        <v>2192.3</v>
      </c>
      <c r="E21" s="29" t="n">
        <v>1142.8</v>
      </c>
      <c r="F21" s="29" t="n">
        <v>866.26</v>
      </c>
      <c r="G21" s="29" t="n">
        <v>7594</v>
      </c>
      <c r="H21" s="29" t="n">
        <v>3168</v>
      </c>
      <c r="I21" s="29" t="n">
        <v>65.79</v>
      </c>
      <c r="J21" s="29" t="n">
        <v>2428.44</v>
      </c>
      <c r="K21" s="29" t="n">
        <v>1451.45</v>
      </c>
      <c r="L21" s="29" t="n">
        <v>498.81</v>
      </c>
      <c r="M21" s="29" t="n">
        <v>8147.04</v>
      </c>
      <c r="N21" s="29" t="n">
        <v>6913.94</v>
      </c>
      <c r="O21" s="29" t="n">
        <v>11260.81</v>
      </c>
      <c r="P21" s="29" t="n">
        <v>18174.75</v>
      </c>
      <c r="Q21" s="29" t="n">
        <v>26321.79</v>
      </c>
      <c r="R21" s="29" t="n">
        <v>26.2669826</v>
      </c>
      <c r="S21" s="29" t="n">
        <v>42.781323</v>
      </c>
      <c r="T21" s="29" t="n">
        <v>30.95169439</v>
      </c>
      <c r="U21" s="29" t="n">
        <v>69.04830561</v>
      </c>
      <c r="V21" s="29" t="n">
        <v>3703.53</v>
      </c>
      <c r="W21" s="29" t="n">
        <v>1728.51</v>
      </c>
      <c r="X21" s="29" t="n">
        <v>2015.5</v>
      </c>
      <c r="Y21" s="29" t="n">
        <v>36.66339951</v>
      </c>
    </row>
    <row r="22" customFormat="false" ht="15" hidden="false" customHeight="false" outlineLevel="0" collapsed="false">
      <c r="A22" s="29" t="s">
        <v>47</v>
      </c>
      <c r="B22" s="29" t="n">
        <v>3313.88</v>
      </c>
      <c r="C22" s="29" t="n">
        <v>2090</v>
      </c>
      <c r="D22" s="29" t="n">
        <v>1600</v>
      </c>
      <c r="E22" s="29" t="n">
        <v>395.3</v>
      </c>
      <c r="F22" s="29" t="n">
        <v>507.83</v>
      </c>
      <c r="G22" s="29" t="n">
        <v>7658</v>
      </c>
      <c r="H22" s="29" t="n">
        <v>3417</v>
      </c>
      <c r="I22" s="29" t="n">
        <v>140.45</v>
      </c>
      <c r="J22" s="29" t="n">
        <v>2631.87</v>
      </c>
      <c r="K22" s="29" t="n">
        <v>1502.69</v>
      </c>
      <c r="L22" s="29" t="n">
        <v>499.07</v>
      </c>
      <c r="M22" s="29" t="n">
        <v>6778.14</v>
      </c>
      <c r="N22" s="29" t="n">
        <v>5403.88</v>
      </c>
      <c r="O22" s="29" t="n">
        <v>11574.07</v>
      </c>
      <c r="P22" s="29" t="n">
        <v>16977.95</v>
      </c>
      <c r="Q22" s="29" t="n">
        <v>23756.09</v>
      </c>
      <c r="R22" s="29" t="n">
        <v>22.74734605</v>
      </c>
      <c r="S22" s="29" t="n">
        <v>48.72043337</v>
      </c>
      <c r="T22" s="29" t="n">
        <v>28.53222058</v>
      </c>
      <c r="U22" s="29" t="n">
        <v>71.46777942</v>
      </c>
      <c r="V22" s="29" t="n">
        <v>3703.53</v>
      </c>
      <c r="W22" s="29" t="n">
        <v>-2565.7</v>
      </c>
      <c r="X22" s="29" t="n">
        <v>-1055.64</v>
      </c>
      <c r="Y22" s="29" t="n">
        <v>30.50306059</v>
      </c>
    </row>
    <row r="23" customFormat="false" ht="15" hidden="false" customHeight="false" outlineLevel="0" collapsed="false">
      <c r="A23" s="29" t="s">
        <v>48</v>
      </c>
      <c r="B23" s="29" t="n">
        <v>3217.44</v>
      </c>
      <c r="C23" s="29" t="n">
        <v>1867</v>
      </c>
      <c r="D23" s="29" t="n">
        <v>3094.74</v>
      </c>
      <c r="E23" s="29" t="n">
        <v>1095.42</v>
      </c>
      <c r="F23" s="29" t="n">
        <v>602.37</v>
      </c>
      <c r="G23" s="29" t="n">
        <v>7839</v>
      </c>
      <c r="H23" s="29" t="n">
        <v>3700</v>
      </c>
      <c r="I23" s="29" t="n">
        <v>165.45</v>
      </c>
      <c r="J23" s="29" t="n">
        <v>2834.01</v>
      </c>
      <c r="K23" s="29" t="n">
        <v>1532.92</v>
      </c>
      <c r="L23" s="29" t="n">
        <v>495.6</v>
      </c>
      <c r="M23" s="29" t="n">
        <v>9324.91</v>
      </c>
      <c r="N23" s="29" t="n">
        <v>5084.44</v>
      </c>
      <c r="O23" s="29" t="n">
        <v>12034.6</v>
      </c>
      <c r="P23" s="29" t="n">
        <v>17119.04</v>
      </c>
      <c r="Q23" s="29" t="n">
        <v>26443.95</v>
      </c>
      <c r="R23" s="29" t="n">
        <v>19.22723345</v>
      </c>
      <c r="S23" s="29" t="n">
        <v>45.50984252</v>
      </c>
      <c r="T23" s="29" t="n">
        <v>35.26292403</v>
      </c>
      <c r="U23" s="29" t="n">
        <v>64.73707597</v>
      </c>
      <c r="V23" s="29" t="n">
        <v>3508.78</v>
      </c>
      <c r="W23" s="29" t="n">
        <v>2687.86</v>
      </c>
      <c r="X23" s="29" t="n">
        <v>3007.3</v>
      </c>
      <c r="Y23" s="29" t="n">
        <v>44.29322063</v>
      </c>
    </row>
    <row r="24" customFormat="false" ht="15" hidden="false" customHeight="false" outlineLevel="0" collapsed="false">
      <c r="A24" s="29" t="s">
        <v>49</v>
      </c>
      <c r="B24" s="29" t="n">
        <v>3063.44</v>
      </c>
      <c r="C24" s="29" t="n">
        <v>1674</v>
      </c>
      <c r="D24" s="29" t="n">
        <v>2700.29</v>
      </c>
      <c r="E24" s="29" t="n">
        <v>1635.13</v>
      </c>
      <c r="F24" s="29" t="n">
        <v>776.33</v>
      </c>
      <c r="G24" s="29" t="n">
        <v>8080</v>
      </c>
      <c r="H24" s="29" t="n">
        <v>4070</v>
      </c>
      <c r="I24" s="29" t="n">
        <v>2.33</v>
      </c>
      <c r="J24" s="29" t="n">
        <v>3036.7</v>
      </c>
      <c r="K24" s="29" t="n">
        <v>1568.39</v>
      </c>
      <c r="L24" s="29" t="n">
        <v>494.87</v>
      </c>
      <c r="M24" s="29" t="n">
        <v>9719.17</v>
      </c>
      <c r="N24" s="29" t="n">
        <v>4737.44</v>
      </c>
      <c r="O24" s="29" t="n">
        <v>12644.87</v>
      </c>
      <c r="P24" s="29" t="n">
        <v>17382.31</v>
      </c>
      <c r="Q24" s="29" t="n">
        <v>27101.48</v>
      </c>
      <c r="R24" s="29" t="n">
        <v>17.48037377</v>
      </c>
      <c r="S24" s="29" t="n">
        <v>46.65748882</v>
      </c>
      <c r="T24" s="29" t="n">
        <v>35.86213742</v>
      </c>
      <c r="U24" s="29" t="n">
        <v>64.13786258</v>
      </c>
      <c r="V24" s="29" t="n">
        <v>4247.81</v>
      </c>
      <c r="W24" s="29" t="n">
        <v>657.53</v>
      </c>
      <c r="X24" s="29" t="n">
        <v>1004.53</v>
      </c>
      <c r="Y24" s="29" t="n">
        <v>38.1340424</v>
      </c>
    </row>
    <row r="25" customFormat="false" ht="15" hidden="false" customHeight="false" outlineLevel="0" collapsed="false">
      <c r="A25" s="29" t="s">
        <v>50</v>
      </c>
      <c r="B25" s="29" t="n">
        <v>2415.52</v>
      </c>
      <c r="C25" s="29" t="n">
        <v>1349</v>
      </c>
      <c r="D25" s="29" t="n">
        <v>2000</v>
      </c>
      <c r="E25" s="29" t="n">
        <v>6952.86</v>
      </c>
      <c r="F25" s="29" t="n">
        <v>1017.83</v>
      </c>
      <c r="G25" s="29" t="n">
        <v>8353</v>
      </c>
      <c r="H25" s="29" t="n">
        <v>4498</v>
      </c>
      <c r="I25" s="29" t="n">
        <v>298.55</v>
      </c>
      <c r="J25" s="29" t="n">
        <v>3239.76</v>
      </c>
      <c r="K25" s="29" t="n">
        <v>98.23</v>
      </c>
      <c r="L25" s="29" t="n">
        <v>496.59</v>
      </c>
      <c r="M25" s="29" t="n">
        <v>13607.23</v>
      </c>
      <c r="N25" s="29" t="n">
        <v>3764.52</v>
      </c>
      <c r="O25" s="29" t="n">
        <v>13347.59</v>
      </c>
      <c r="P25" s="29" t="n">
        <v>17112.11</v>
      </c>
      <c r="Q25" s="29" t="n">
        <v>30719.34</v>
      </c>
      <c r="R25" s="29" t="n">
        <v>12.25456016</v>
      </c>
      <c r="S25" s="29" t="n">
        <v>43.4501197</v>
      </c>
      <c r="T25" s="29" t="n">
        <v>44.29532015</v>
      </c>
      <c r="U25" s="29" t="n">
        <v>55.70467985</v>
      </c>
      <c r="V25" s="29" t="n">
        <v>4014.95</v>
      </c>
      <c r="W25" s="29" t="n">
        <v>3617.86</v>
      </c>
      <c r="X25" s="29" t="n">
        <v>4590.78</v>
      </c>
      <c r="Y25" s="29" t="n">
        <v>56.48567645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2026-03-17T15:09:28Z</dcterms:created>
  <dc:creator>openpyxl</dc:creator>
  <dc:description/>
  <dc:language>en-US</dc:language>
  <cp:lastModifiedBy/>
  <dcterms:modified xsi:type="dcterms:W3CDTF">2026-03-17T16:09:41Z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